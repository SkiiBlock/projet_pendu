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225" windowWidth="12915" windowHeight="9600" activeTab="2"/>
  </bookViews>
  <sheets>
    <sheet name="Synthèse" sheetId="4" r:id="rId1"/>
    <sheet name="Fonctionnalités" sheetId="5" r:id="rId2"/>
    <sheet name="Déclinaison projet" sheetId="8" r:id="rId3"/>
    <sheet name="ELEVE A" sheetId="2" r:id="rId4"/>
    <sheet name="ELEVE B" sheetId="11" r:id="rId5"/>
    <sheet name="ELEVE C" sheetId="13" r:id="rId6"/>
    <sheet name="MODE EMPLOI" sheetId="15" r:id="rId7"/>
    <sheet name="parametres" sheetId="14" r:id="rId8"/>
  </sheets>
  <externalReferences>
    <externalReference r:id="rId9"/>
  </externalReferences>
  <definedNames>
    <definedName name="_xlnm._FilterDatabase" localSheetId="7" hidden="1">parametres!$D$1:$D$12</definedName>
    <definedName name="_xlnm._FilterDatabase" localSheetId="0" hidden="1">Synthèse!#REF!</definedName>
    <definedName name="_xlnm.Data_Form">#REF!</definedName>
    <definedName name="Grille_ELC" localSheetId="5">#REF!</definedName>
    <definedName name="Grille_ELC">#REF!</definedName>
    <definedName name="GrilleB" localSheetId="4">#REF!</definedName>
    <definedName name="GrilleB" localSheetId="5">#REF!</definedName>
    <definedName name="GrilleB" localSheetId="6">#REF!</definedName>
    <definedName name="GrilleB" localSheetId="7">#REF!</definedName>
    <definedName name="GrilleB">#REF!</definedName>
    <definedName name="GrilleC" localSheetId="4">#REF!</definedName>
    <definedName name="GrilleC" localSheetId="5">#REF!</definedName>
    <definedName name="GrilleC" localSheetId="6">#REF!</definedName>
    <definedName name="GrilleC" localSheetId="7">#REF!</definedName>
    <definedName name="GrilleC">#REF!</definedName>
    <definedName name="GrilleD" localSheetId="4">#REF!</definedName>
    <definedName name="GrilleD" localSheetId="5">#REF!</definedName>
    <definedName name="GrilleD" localSheetId="6">#REF!</definedName>
    <definedName name="GrilleD" localSheetId="7">#REF!</definedName>
    <definedName name="GrilleD">#REF!</definedName>
    <definedName name="GrilleE" localSheetId="4">#REF!</definedName>
    <definedName name="GrilleE" localSheetId="5">#REF!</definedName>
    <definedName name="GrilleE" localSheetId="6">#REF!</definedName>
    <definedName name="GrilleE" localSheetId="7">#REF!</definedName>
    <definedName name="GrilleE">#REF!</definedName>
    <definedName name="zcoche">#REF!</definedName>
    <definedName name="zcoche1">#REF!</definedName>
    <definedName name="_xlnm.Print_Area" localSheetId="0">Synthèse!$B$1:$L$29</definedName>
  </definedNames>
  <calcPr calcId="145621"/>
</workbook>
</file>

<file path=xl/calcChain.xml><?xml version="1.0" encoding="utf-8"?>
<calcChain xmlns="http://schemas.openxmlformats.org/spreadsheetml/2006/main">
  <c r="M17" i="8" l="1"/>
  <c r="M16" i="8"/>
  <c r="L17" i="8"/>
  <c r="L16" i="8" l="1"/>
  <c r="N16" i="8"/>
  <c r="N17" i="8"/>
  <c r="AZ21" i="13"/>
  <c r="AY21" i="13"/>
  <c r="AX21" i="13"/>
  <c r="AW21" i="13"/>
  <c r="AV21" i="13"/>
  <c r="AU21" i="13"/>
  <c r="AT21" i="13"/>
  <c r="AS21" i="13"/>
  <c r="AR21" i="13"/>
  <c r="AQ21" i="13"/>
  <c r="AP21" i="13"/>
  <c r="AO21" i="13"/>
  <c r="AN21" i="13"/>
  <c r="AM21" i="13"/>
  <c r="AL21" i="13"/>
  <c r="AK21" i="13"/>
  <c r="AJ21" i="13"/>
  <c r="AI21" i="13"/>
  <c r="AH21" i="13"/>
  <c r="AG21" i="13"/>
  <c r="AZ20" i="13"/>
  <c r="AY20" i="13"/>
  <c r="AX20" i="13"/>
  <c r="AW20" i="13"/>
  <c r="AV20" i="13"/>
  <c r="AU20" i="13"/>
  <c r="AT20" i="13"/>
  <c r="AS20" i="13"/>
  <c r="AR20" i="13"/>
  <c r="AQ20" i="13"/>
  <c r="AP20" i="13"/>
  <c r="AO20" i="13"/>
  <c r="AN20" i="13"/>
  <c r="AM20" i="13"/>
  <c r="AL20" i="13"/>
  <c r="AK20" i="13"/>
  <c r="AJ20" i="13"/>
  <c r="AI20" i="13"/>
  <c r="AH20" i="13"/>
  <c r="AG20" i="13"/>
  <c r="AZ18" i="13"/>
  <c r="AY18" i="13"/>
  <c r="AX18" i="13"/>
  <c r="AW18" i="13"/>
  <c r="AV18" i="13"/>
  <c r="AU18" i="13"/>
  <c r="AT18" i="13"/>
  <c r="AS18" i="13"/>
  <c r="AR18" i="13"/>
  <c r="AQ18" i="13"/>
  <c r="AP18" i="13"/>
  <c r="AO18" i="13"/>
  <c r="AN18" i="13"/>
  <c r="AM18" i="13"/>
  <c r="AL18" i="13"/>
  <c r="AK18" i="13"/>
  <c r="AJ18" i="13"/>
  <c r="AI18" i="13"/>
  <c r="AH18" i="13"/>
  <c r="AG18" i="13"/>
  <c r="AZ17" i="13"/>
  <c r="AY17" i="13"/>
  <c r="AX17" i="13"/>
  <c r="AW17" i="13"/>
  <c r="AV17" i="13"/>
  <c r="AU17" i="13"/>
  <c r="AT17" i="13"/>
  <c r="AS17" i="13"/>
  <c r="AR17" i="13"/>
  <c r="AQ17" i="13"/>
  <c r="AP17" i="13"/>
  <c r="AO17" i="13"/>
  <c r="AN17" i="13"/>
  <c r="AM17" i="13"/>
  <c r="AL17" i="13"/>
  <c r="AK17" i="13"/>
  <c r="AJ17" i="13"/>
  <c r="AI17" i="13"/>
  <c r="AH17" i="13"/>
  <c r="AG17" i="13"/>
  <c r="AZ16" i="13"/>
  <c r="AY16" i="13"/>
  <c r="AX16" i="13"/>
  <c r="AW16" i="13"/>
  <c r="AV16" i="13"/>
  <c r="AU16" i="13"/>
  <c r="AT16" i="13"/>
  <c r="AS16" i="13"/>
  <c r="AR16" i="13"/>
  <c r="AQ16" i="13"/>
  <c r="AP16" i="13"/>
  <c r="AO16" i="13"/>
  <c r="AN16" i="13"/>
  <c r="AM16" i="13"/>
  <c r="AL16" i="13"/>
  <c r="AK16" i="13"/>
  <c r="AJ16" i="13"/>
  <c r="AI16" i="13"/>
  <c r="AH16" i="13"/>
  <c r="AG16" i="13"/>
  <c r="AZ14" i="13"/>
  <c r="AY14" i="13"/>
  <c r="AX14" i="13"/>
  <c r="AW14" i="13"/>
  <c r="AV14" i="13"/>
  <c r="AU14" i="13"/>
  <c r="AT14" i="13"/>
  <c r="AS14" i="13"/>
  <c r="AR14" i="13"/>
  <c r="AQ14" i="13"/>
  <c r="AP14" i="13"/>
  <c r="AO14" i="13"/>
  <c r="AN14" i="13"/>
  <c r="AM14" i="13"/>
  <c r="AL14" i="13"/>
  <c r="AK14" i="13"/>
  <c r="AJ14" i="13"/>
  <c r="AI14" i="13"/>
  <c r="AH14" i="13"/>
  <c r="AG14" i="13"/>
  <c r="AZ13" i="13"/>
  <c r="AY13" i="13"/>
  <c r="AX13" i="13"/>
  <c r="AW13" i="13"/>
  <c r="AV13" i="13"/>
  <c r="AU13" i="13"/>
  <c r="AT13" i="13"/>
  <c r="AS13" i="13"/>
  <c r="AR13" i="13"/>
  <c r="AQ13" i="13"/>
  <c r="AP13" i="13"/>
  <c r="AO13" i="13"/>
  <c r="AN13" i="13"/>
  <c r="AM13" i="13"/>
  <c r="AL13" i="13"/>
  <c r="AK13" i="13"/>
  <c r="AJ13" i="13"/>
  <c r="AI13" i="13"/>
  <c r="AH13" i="13"/>
  <c r="AG13" i="13"/>
  <c r="AZ12" i="13"/>
  <c r="AY12" i="13"/>
  <c r="AX12" i="13"/>
  <c r="AW12" i="13"/>
  <c r="AV12" i="13"/>
  <c r="AU12" i="13"/>
  <c r="AT12" i="13"/>
  <c r="AS12" i="13"/>
  <c r="AR12" i="13"/>
  <c r="AQ12" i="13"/>
  <c r="AP12" i="13"/>
  <c r="AO12" i="13"/>
  <c r="AN12" i="13"/>
  <c r="AM12" i="13"/>
  <c r="AL12" i="13"/>
  <c r="AK12" i="13"/>
  <c r="AJ12" i="13"/>
  <c r="AI12" i="13"/>
  <c r="AH12" i="13"/>
  <c r="AG12" i="13"/>
  <c r="AZ10" i="13"/>
  <c r="AY10" i="13"/>
  <c r="AX10" i="13"/>
  <c r="AW10" i="13"/>
  <c r="AV10" i="13"/>
  <c r="AU10" i="13"/>
  <c r="AT10" i="13"/>
  <c r="AS10" i="13"/>
  <c r="AR10" i="13"/>
  <c r="AQ10" i="13"/>
  <c r="AP10" i="13"/>
  <c r="AO10" i="13"/>
  <c r="AN10" i="13"/>
  <c r="AM10" i="13"/>
  <c r="AL10" i="13"/>
  <c r="AK10" i="13"/>
  <c r="AJ10" i="13"/>
  <c r="AI10" i="13"/>
  <c r="AH10" i="13"/>
  <c r="AG10" i="13"/>
  <c r="AZ9" i="13"/>
  <c r="AY9" i="13"/>
  <c r="AX9" i="13"/>
  <c r="AW9" i="13"/>
  <c r="AV9" i="13"/>
  <c r="AU9" i="13"/>
  <c r="AT9" i="13"/>
  <c r="AS9" i="13"/>
  <c r="AR9" i="13"/>
  <c r="AQ9" i="13"/>
  <c r="AP9" i="13"/>
  <c r="AO9" i="13"/>
  <c r="AN9" i="13"/>
  <c r="AM9" i="13"/>
  <c r="AL9" i="13"/>
  <c r="AK9" i="13"/>
  <c r="AJ9" i="13"/>
  <c r="AI9" i="13"/>
  <c r="AH9" i="13"/>
  <c r="AG9" i="13"/>
  <c r="AZ8" i="13"/>
  <c r="AY8" i="13"/>
  <c r="AX8" i="13"/>
  <c r="AW8" i="13"/>
  <c r="AV8" i="13"/>
  <c r="AU8" i="13"/>
  <c r="AT8" i="13"/>
  <c r="AS8" i="13"/>
  <c r="AR8" i="13"/>
  <c r="AQ8" i="13"/>
  <c r="AP8" i="13"/>
  <c r="AO8" i="13"/>
  <c r="AN8" i="13"/>
  <c r="AM8" i="13"/>
  <c r="AL8" i="13"/>
  <c r="AK8" i="13"/>
  <c r="AJ8" i="13"/>
  <c r="AI8" i="13"/>
  <c r="AH8" i="13"/>
  <c r="AG8" i="13"/>
  <c r="AZ6" i="13"/>
  <c r="AY6" i="13"/>
  <c r="AX6" i="13"/>
  <c r="AW6" i="13"/>
  <c r="AV6" i="13"/>
  <c r="AU6" i="13"/>
  <c r="AT6" i="13"/>
  <c r="AS6" i="13"/>
  <c r="AR6" i="13"/>
  <c r="AQ6" i="13"/>
  <c r="AP6" i="13"/>
  <c r="AO6" i="13"/>
  <c r="AN6" i="13"/>
  <c r="AM6" i="13"/>
  <c r="AL6" i="13"/>
  <c r="AK6" i="13"/>
  <c r="AJ6" i="13"/>
  <c r="AI6" i="13"/>
  <c r="AH6" i="13"/>
  <c r="AG6" i="13"/>
  <c r="AZ5" i="13"/>
  <c r="AY5" i="13"/>
  <c r="AX5" i="13"/>
  <c r="AW5" i="13"/>
  <c r="AV5" i="13"/>
  <c r="AU5" i="13"/>
  <c r="AT5" i="13"/>
  <c r="AS5" i="13"/>
  <c r="AR5" i="13"/>
  <c r="AQ5" i="13"/>
  <c r="AP5" i="13"/>
  <c r="AO5" i="13"/>
  <c r="AN5" i="13"/>
  <c r="AM5" i="13"/>
  <c r="AL5" i="13"/>
  <c r="AK5" i="13"/>
  <c r="AJ5" i="13"/>
  <c r="AI5" i="13"/>
  <c r="AH5" i="13"/>
  <c r="AG5" i="13"/>
  <c r="AZ21" i="11"/>
  <c r="AY21" i="11"/>
  <c r="AX21" i="11"/>
  <c r="AW21" i="11"/>
  <c r="AV21" i="11"/>
  <c r="AU21" i="11"/>
  <c r="AT21" i="11"/>
  <c r="AS21" i="11"/>
  <c r="AR21" i="11"/>
  <c r="AQ21" i="11"/>
  <c r="AP21" i="11"/>
  <c r="AO21" i="11"/>
  <c r="AN21" i="11"/>
  <c r="AM21" i="11"/>
  <c r="AL21" i="11"/>
  <c r="AK21" i="11"/>
  <c r="AJ21" i="11"/>
  <c r="AI21" i="11"/>
  <c r="AH21" i="11"/>
  <c r="AG21" i="11"/>
  <c r="AZ20" i="11"/>
  <c r="AY20" i="11"/>
  <c r="AX20" i="11"/>
  <c r="AW20" i="11"/>
  <c r="AV20" i="11"/>
  <c r="AU20" i="11"/>
  <c r="AT20" i="11"/>
  <c r="AS20" i="11"/>
  <c r="AR20" i="11"/>
  <c r="AQ20" i="11"/>
  <c r="AP20" i="11"/>
  <c r="AO20" i="11"/>
  <c r="AN20" i="11"/>
  <c r="AM20" i="11"/>
  <c r="AL20" i="11"/>
  <c r="AK20" i="11"/>
  <c r="AJ20" i="11"/>
  <c r="AI20" i="11"/>
  <c r="AH20" i="11"/>
  <c r="AG20" i="11"/>
  <c r="AZ18" i="11"/>
  <c r="AY18" i="11"/>
  <c r="AX18" i="11"/>
  <c r="AW18" i="11"/>
  <c r="AV18" i="11"/>
  <c r="AU18" i="11"/>
  <c r="AT18" i="11"/>
  <c r="AS18" i="11"/>
  <c r="AR18" i="11"/>
  <c r="AQ18" i="11"/>
  <c r="AP18" i="11"/>
  <c r="AO18" i="11"/>
  <c r="AN18" i="11"/>
  <c r="AM18" i="11"/>
  <c r="AL18" i="11"/>
  <c r="AK18" i="11"/>
  <c r="AJ18" i="11"/>
  <c r="AI18" i="11"/>
  <c r="AH18" i="11"/>
  <c r="AG18" i="11"/>
  <c r="AZ17" i="11"/>
  <c r="AY17" i="11"/>
  <c r="AX17" i="11"/>
  <c r="AW17" i="11"/>
  <c r="AV17" i="11"/>
  <c r="AU17" i="11"/>
  <c r="AT17" i="11"/>
  <c r="AS17" i="11"/>
  <c r="AR17" i="11"/>
  <c r="AQ17" i="11"/>
  <c r="AP17" i="11"/>
  <c r="AO17" i="11"/>
  <c r="AN17" i="11"/>
  <c r="AM17" i="11"/>
  <c r="AL17" i="11"/>
  <c r="AK17" i="11"/>
  <c r="AJ17" i="11"/>
  <c r="AI17" i="11"/>
  <c r="AH17" i="11"/>
  <c r="AG17" i="11"/>
  <c r="AZ16" i="11"/>
  <c r="AY16" i="11"/>
  <c r="AX16" i="11"/>
  <c r="AW16" i="11"/>
  <c r="AV16" i="11"/>
  <c r="AU16" i="11"/>
  <c r="AT16" i="11"/>
  <c r="AS16" i="11"/>
  <c r="AR16" i="11"/>
  <c r="AQ16" i="11"/>
  <c r="AP16" i="11"/>
  <c r="AO16" i="11"/>
  <c r="AN16" i="11"/>
  <c r="AM16" i="11"/>
  <c r="AL16" i="11"/>
  <c r="AK16" i="11"/>
  <c r="AJ16" i="11"/>
  <c r="AI16" i="11"/>
  <c r="AH16" i="11"/>
  <c r="AG16" i="11"/>
  <c r="AZ14" i="11"/>
  <c r="AY14" i="11"/>
  <c r="AX14" i="11"/>
  <c r="AW14" i="11"/>
  <c r="AV14" i="11"/>
  <c r="AU14" i="11"/>
  <c r="AT14" i="11"/>
  <c r="AS14" i="11"/>
  <c r="AR14" i="11"/>
  <c r="AQ14" i="11"/>
  <c r="AP14" i="11"/>
  <c r="AO14" i="11"/>
  <c r="AN14" i="11"/>
  <c r="AM14" i="11"/>
  <c r="AL14" i="11"/>
  <c r="AK14" i="11"/>
  <c r="AJ14" i="11"/>
  <c r="AI14" i="11"/>
  <c r="AH14" i="11"/>
  <c r="AG14" i="11"/>
  <c r="AZ13" i="11"/>
  <c r="AY13" i="11"/>
  <c r="AX13" i="11"/>
  <c r="AW13" i="11"/>
  <c r="AV13" i="11"/>
  <c r="AU13" i="11"/>
  <c r="AT13" i="11"/>
  <c r="AS13" i="11"/>
  <c r="AR13" i="11"/>
  <c r="AQ13" i="11"/>
  <c r="AP13" i="11"/>
  <c r="AO13" i="11"/>
  <c r="AN13" i="11"/>
  <c r="AM13" i="11"/>
  <c r="AL13" i="11"/>
  <c r="AK13" i="11"/>
  <c r="AJ13" i="11"/>
  <c r="AI13" i="11"/>
  <c r="AH13" i="11"/>
  <c r="AG13" i="11"/>
  <c r="AZ12" i="11"/>
  <c r="AY12" i="11"/>
  <c r="AX12" i="11"/>
  <c r="AW12" i="11"/>
  <c r="AV12" i="11"/>
  <c r="AU12" i="11"/>
  <c r="AT12" i="11"/>
  <c r="AS12" i="11"/>
  <c r="AR12" i="11"/>
  <c r="AQ12" i="11"/>
  <c r="AP12" i="11"/>
  <c r="AO12" i="11"/>
  <c r="AN12" i="11"/>
  <c r="AM12" i="11"/>
  <c r="AL12" i="11"/>
  <c r="AK12" i="11"/>
  <c r="AJ12" i="11"/>
  <c r="AI12" i="11"/>
  <c r="AH12" i="11"/>
  <c r="AG12" i="11"/>
  <c r="AZ10" i="11"/>
  <c r="AY10" i="11"/>
  <c r="AX10" i="11"/>
  <c r="AW10" i="11"/>
  <c r="AV10" i="11"/>
  <c r="AU10" i="11"/>
  <c r="AT10" i="11"/>
  <c r="AS10" i="11"/>
  <c r="AR10" i="11"/>
  <c r="AQ10" i="11"/>
  <c r="AP10" i="11"/>
  <c r="AO10" i="11"/>
  <c r="AN10" i="11"/>
  <c r="AM10" i="11"/>
  <c r="AL10" i="11"/>
  <c r="AK10" i="11"/>
  <c r="AJ10" i="11"/>
  <c r="AI10" i="11"/>
  <c r="AH10" i="11"/>
  <c r="AG10" i="11"/>
  <c r="AZ9" i="11"/>
  <c r="AY9" i="11"/>
  <c r="AX9" i="11"/>
  <c r="AW9" i="11"/>
  <c r="AV9" i="11"/>
  <c r="AU9" i="11"/>
  <c r="AT9" i="11"/>
  <c r="AS9" i="11"/>
  <c r="AR9" i="11"/>
  <c r="AQ9" i="11"/>
  <c r="AP9" i="11"/>
  <c r="AO9" i="11"/>
  <c r="AN9" i="11"/>
  <c r="AM9" i="11"/>
  <c r="AL9" i="11"/>
  <c r="AK9" i="11"/>
  <c r="AJ9" i="11"/>
  <c r="AI9" i="11"/>
  <c r="AH9" i="11"/>
  <c r="AG9" i="11"/>
  <c r="AZ8" i="11"/>
  <c r="AY8" i="11"/>
  <c r="AX8" i="11"/>
  <c r="AW8" i="11"/>
  <c r="AV8" i="11"/>
  <c r="AU8" i="11"/>
  <c r="AT8" i="11"/>
  <c r="AS8" i="11"/>
  <c r="AR8" i="11"/>
  <c r="AQ8" i="11"/>
  <c r="AP8" i="11"/>
  <c r="AO8" i="11"/>
  <c r="AN8" i="11"/>
  <c r="AM8" i="11"/>
  <c r="AL8" i="11"/>
  <c r="AK8" i="11"/>
  <c r="AJ8" i="11"/>
  <c r="AI8" i="11"/>
  <c r="AH8" i="11"/>
  <c r="AG8" i="11"/>
  <c r="AZ6" i="11"/>
  <c r="AY6" i="11"/>
  <c r="AX6" i="11"/>
  <c r="AW6" i="11"/>
  <c r="AV6" i="11"/>
  <c r="AU6" i="11"/>
  <c r="AT6" i="11"/>
  <c r="AS6" i="11"/>
  <c r="AR6" i="11"/>
  <c r="AQ6" i="11"/>
  <c r="AP6" i="11"/>
  <c r="AO6" i="11"/>
  <c r="AN6" i="11"/>
  <c r="AM6" i="11"/>
  <c r="AL6" i="11"/>
  <c r="AK6" i="11"/>
  <c r="AJ6" i="11"/>
  <c r="AI6" i="11"/>
  <c r="AH6" i="11"/>
  <c r="AG6" i="11"/>
  <c r="AZ5" i="11"/>
  <c r="AY5" i="11"/>
  <c r="AX5" i="11"/>
  <c r="AW5" i="11"/>
  <c r="AV5" i="11"/>
  <c r="AU5" i="11"/>
  <c r="AT5" i="11"/>
  <c r="AS5" i="11"/>
  <c r="AR5" i="11"/>
  <c r="AQ5" i="11"/>
  <c r="AP5" i="11"/>
  <c r="AO5" i="11"/>
  <c r="AN5" i="11"/>
  <c r="AM5" i="11"/>
  <c r="AL5" i="11"/>
  <c r="AK5" i="11"/>
  <c r="AJ5" i="11"/>
  <c r="AI5" i="11"/>
  <c r="AH5" i="11"/>
  <c r="AG5" i="11"/>
  <c r="AG8" i="2"/>
  <c r="AH8" i="2"/>
  <c r="AI8" i="2"/>
  <c r="AJ8" i="2"/>
  <c r="AK8" i="2"/>
  <c r="AL8" i="2"/>
  <c r="AM8" i="2"/>
  <c r="AN8" i="2"/>
  <c r="AO8" i="2"/>
  <c r="AP8" i="2"/>
  <c r="AQ8" i="2"/>
  <c r="AR8" i="2"/>
  <c r="AS8" i="2"/>
  <c r="AT8" i="2"/>
  <c r="AU8" i="2"/>
  <c r="AV8" i="2"/>
  <c r="AW8" i="2"/>
  <c r="AX8" i="2"/>
  <c r="AY8" i="2"/>
  <c r="AZ8" i="2"/>
  <c r="AG9" i="2"/>
  <c r="AH9" i="2"/>
  <c r="AI9" i="2"/>
  <c r="AJ9" i="2"/>
  <c r="AK9" i="2"/>
  <c r="AL9" i="2"/>
  <c r="AM9" i="2"/>
  <c r="AN9" i="2"/>
  <c r="AO9" i="2"/>
  <c r="AP9" i="2"/>
  <c r="AQ9" i="2"/>
  <c r="AR9" i="2"/>
  <c r="AS9" i="2"/>
  <c r="AT9" i="2"/>
  <c r="AU9" i="2"/>
  <c r="AV9" i="2"/>
  <c r="AW9" i="2"/>
  <c r="AX9" i="2"/>
  <c r="AY9" i="2"/>
  <c r="AZ9" i="2"/>
  <c r="AG10" i="2"/>
  <c r="AH10" i="2"/>
  <c r="AI10" i="2"/>
  <c r="AJ10" i="2"/>
  <c r="AK10" i="2"/>
  <c r="AL10" i="2"/>
  <c r="AM10" i="2"/>
  <c r="AN10" i="2"/>
  <c r="AO10" i="2"/>
  <c r="AP10" i="2"/>
  <c r="AQ10" i="2"/>
  <c r="AR10" i="2"/>
  <c r="AS10" i="2"/>
  <c r="AT10" i="2"/>
  <c r="AU10" i="2"/>
  <c r="AV10" i="2"/>
  <c r="AW10" i="2"/>
  <c r="AX10" i="2"/>
  <c r="AY10" i="2"/>
  <c r="AZ10" i="2"/>
  <c r="AG12" i="2"/>
  <c r="AH12" i="2"/>
  <c r="AI12" i="2"/>
  <c r="AJ12" i="2"/>
  <c r="AK12" i="2"/>
  <c r="AL12" i="2"/>
  <c r="AM12" i="2"/>
  <c r="AN12" i="2"/>
  <c r="AO12" i="2"/>
  <c r="AP12" i="2"/>
  <c r="AQ12" i="2"/>
  <c r="AR12" i="2"/>
  <c r="AS12" i="2"/>
  <c r="AT12" i="2"/>
  <c r="AU12" i="2"/>
  <c r="AV12" i="2"/>
  <c r="AW12" i="2"/>
  <c r="AX12" i="2"/>
  <c r="AY12" i="2"/>
  <c r="AZ12" i="2"/>
  <c r="AG13" i="2"/>
  <c r="AH13" i="2"/>
  <c r="AI13" i="2"/>
  <c r="AJ13" i="2"/>
  <c r="AK13" i="2"/>
  <c r="AL13" i="2"/>
  <c r="AM13" i="2"/>
  <c r="AN13" i="2"/>
  <c r="AO13" i="2"/>
  <c r="AP13" i="2"/>
  <c r="AQ13" i="2"/>
  <c r="AR13" i="2"/>
  <c r="AS13" i="2"/>
  <c r="AT13" i="2"/>
  <c r="AU13" i="2"/>
  <c r="AV13" i="2"/>
  <c r="AW13" i="2"/>
  <c r="AX13" i="2"/>
  <c r="AY13" i="2"/>
  <c r="AZ13" i="2"/>
  <c r="AG14" i="2"/>
  <c r="AH14" i="2"/>
  <c r="AI14" i="2"/>
  <c r="AJ14" i="2"/>
  <c r="AK14" i="2"/>
  <c r="AL14" i="2"/>
  <c r="AM14" i="2"/>
  <c r="AN14" i="2"/>
  <c r="AO14" i="2"/>
  <c r="AP14" i="2"/>
  <c r="AQ14" i="2"/>
  <c r="AR14" i="2"/>
  <c r="AS14" i="2"/>
  <c r="AT14" i="2"/>
  <c r="AU14" i="2"/>
  <c r="AV14" i="2"/>
  <c r="AW14" i="2"/>
  <c r="AX14" i="2"/>
  <c r="AY14" i="2"/>
  <c r="AZ14" i="2"/>
  <c r="AG16" i="2"/>
  <c r="AH16" i="2"/>
  <c r="AI16" i="2"/>
  <c r="AJ16" i="2"/>
  <c r="AK16" i="2"/>
  <c r="AL16" i="2"/>
  <c r="AM16" i="2"/>
  <c r="AN16" i="2"/>
  <c r="AO16" i="2"/>
  <c r="AP16" i="2"/>
  <c r="AQ16" i="2"/>
  <c r="AR16" i="2"/>
  <c r="AS16" i="2"/>
  <c r="AT16" i="2"/>
  <c r="AU16" i="2"/>
  <c r="AV16" i="2"/>
  <c r="AW16" i="2"/>
  <c r="AX16" i="2"/>
  <c r="AY16" i="2"/>
  <c r="AZ16" i="2"/>
  <c r="AG17" i="2"/>
  <c r="AH17" i="2"/>
  <c r="AI17" i="2"/>
  <c r="AJ17" i="2"/>
  <c r="AK17" i="2"/>
  <c r="AL17" i="2"/>
  <c r="AM17" i="2"/>
  <c r="AN17" i="2"/>
  <c r="AO17" i="2"/>
  <c r="AP17" i="2"/>
  <c r="AQ17" i="2"/>
  <c r="AR17" i="2"/>
  <c r="AS17" i="2"/>
  <c r="AT17" i="2"/>
  <c r="AU17" i="2"/>
  <c r="AV17" i="2"/>
  <c r="AW17" i="2"/>
  <c r="AX17" i="2"/>
  <c r="AY17" i="2"/>
  <c r="AZ17" i="2"/>
  <c r="AG18" i="2"/>
  <c r="AH18" i="2"/>
  <c r="AI18" i="2"/>
  <c r="AJ18" i="2"/>
  <c r="AK18" i="2"/>
  <c r="AL18" i="2"/>
  <c r="AM18" i="2"/>
  <c r="AN18" i="2"/>
  <c r="AO18" i="2"/>
  <c r="AP18" i="2"/>
  <c r="AQ18" i="2"/>
  <c r="AR18" i="2"/>
  <c r="AS18" i="2"/>
  <c r="AT18" i="2"/>
  <c r="AU18" i="2"/>
  <c r="AV18" i="2"/>
  <c r="AW18" i="2"/>
  <c r="AX18" i="2"/>
  <c r="AY18" i="2"/>
  <c r="AZ18" i="2"/>
  <c r="AG20" i="2"/>
  <c r="AH20" i="2"/>
  <c r="AI20" i="2"/>
  <c r="AJ20" i="2"/>
  <c r="AK20" i="2"/>
  <c r="AL20" i="2"/>
  <c r="AM20" i="2"/>
  <c r="AN20" i="2"/>
  <c r="AO20" i="2"/>
  <c r="AP20" i="2"/>
  <c r="AQ20" i="2"/>
  <c r="AR20" i="2"/>
  <c r="AS20" i="2"/>
  <c r="AT20" i="2"/>
  <c r="AU20" i="2"/>
  <c r="AV20" i="2"/>
  <c r="AW20" i="2"/>
  <c r="AX20" i="2"/>
  <c r="AY20" i="2"/>
  <c r="AZ20" i="2"/>
  <c r="AG21" i="2"/>
  <c r="AH21" i="2"/>
  <c r="AI21" i="2"/>
  <c r="AJ21" i="2"/>
  <c r="AK21" i="2"/>
  <c r="AL21" i="2"/>
  <c r="AM21" i="2"/>
  <c r="AN21" i="2"/>
  <c r="AO21" i="2"/>
  <c r="AP21" i="2"/>
  <c r="AQ21" i="2"/>
  <c r="AR21" i="2"/>
  <c r="AS21" i="2"/>
  <c r="AT21" i="2"/>
  <c r="AU21" i="2"/>
  <c r="AV21" i="2"/>
  <c r="AW21" i="2"/>
  <c r="AX21" i="2"/>
  <c r="AY21" i="2"/>
  <c r="AZ21" i="2"/>
  <c r="AG6" i="2"/>
  <c r="AH6" i="2"/>
  <c r="AI6" i="2"/>
  <c r="AJ6" i="2"/>
  <c r="AK6" i="2"/>
  <c r="AL6" i="2"/>
  <c r="AM6" i="2"/>
  <c r="AN6" i="2"/>
  <c r="AO6" i="2"/>
  <c r="AP6" i="2"/>
  <c r="AQ6" i="2"/>
  <c r="AR6" i="2"/>
  <c r="AS6" i="2"/>
  <c r="AT6" i="2"/>
  <c r="AU6" i="2"/>
  <c r="AV6" i="2"/>
  <c r="AW6" i="2"/>
  <c r="AX6" i="2"/>
  <c r="AY6" i="2"/>
  <c r="AZ6" i="2"/>
  <c r="AH5" i="2"/>
  <c r="AI5" i="2"/>
  <c r="AJ5" i="2"/>
  <c r="AK5" i="2"/>
  <c r="AL5" i="2"/>
  <c r="AM5" i="2"/>
  <c r="AN5" i="2"/>
  <c r="AO5" i="2"/>
  <c r="AP5" i="2"/>
  <c r="AQ5" i="2"/>
  <c r="AR5" i="2"/>
  <c r="AS5" i="2"/>
  <c r="AT5" i="2"/>
  <c r="AU5" i="2"/>
  <c r="AV5" i="2"/>
  <c r="AW5" i="2"/>
  <c r="AX5" i="2"/>
  <c r="AY5" i="2"/>
  <c r="AZ5" i="2"/>
  <c r="AG5" i="2"/>
  <c r="C2" i="11"/>
  <c r="C1" i="11"/>
  <c r="C2" i="2"/>
  <c r="C1" i="2"/>
  <c r="C2" i="13"/>
  <c r="C1" i="13"/>
  <c r="N11" i="8"/>
  <c r="N12" i="8"/>
  <c r="N13" i="8"/>
  <c r="N14" i="8"/>
  <c r="N15" i="8"/>
  <c r="N18" i="8"/>
  <c r="N19" i="8"/>
  <c r="N20" i="8"/>
  <c r="N21" i="8"/>
  <c r="N22" i="8"/>
  <c r="N23" i="8"/>
  <c r="N25" i="8"/>
  <c r="M11" i="8"/>
  <c r="M12" i="8"/>
  <c r="M13" i="8"/>
  <c r="M14" i="8"/>
  <c r="M15" i="8"/>
  <c r="M18" i="8"/>
  <c r="M19" i="8"/>
  <c r="M20" i="8"/>
  <c r="M21" i="8"/>
  <c r="M22" i="8"/>
  <c r="M23" i="8"/>
  <c r="M25" i="8"/>
  <c r="L12" i="8"/>
  <c r="L13" i="8"/>
  <c r="L14" i="8"/>
  <c r="L15" i="8"/>
  <c r="L18" i="8"/>
  <c r="L19" i="8"/>
  <c r="L20" i="8"/>
  <c r="L21" i="8"/>
  <c r="L22" i="8"/>
  <c r="L23" i="8"/>
  <c r="L25" i="8"/>
  <c r="L11" i="8"/>
  <c r="J12" i="8"/>
  <c r="J13" i="8"/>
  <c r="J14" i="8"/>
  <c r="J15" i="8"/>
  <c r="J18" i="8"/>
  <c r="J19" i="8"/>
  <c r="J20" i="8"/>
  <c r="J21" i="8"/>
  <c r="J22" i="8"/>
  <c r="J23" i="8"/>
  <c r="J25" i="8"/>
  <c r="J11" i="8"/>
  <c r="E7" i="8"/>
  <c r="D7" i="8"/>
  <c r="C7" i="8"/>
  <c r="D8" i="8"/>
  <c r="E8" i="8"/>
  <c r="C8" i="8"/>
  <c r="J25" i="4"/>
  <c r="J24" i="4"/>
  <c r="BB20" i="2" l="1"/>
  <c r="X20" i="2" s="1"/>
  <c r="BB21" i="2"/>
  <c r="X21" i="2" s="1"/>
  <c r="BB5" i="11"/>
  <c r="BB13" i="11"/>
  <c r="X13" i="11" s="1"/>
  <c r="BB14" i="11"/>
  <c r="X14" i="11" s="1"/>
  <c r="BB20" i="11"/>
  <c r="X20" i="11" s="1"/>
  <c r="BB21" i="11"/>
  <c r="X21" i="11" s="1"/>
  <c r="BB13" i="13"/>
  <c r="X13" i="13" s="1"/>
  <c r="BB14" i="13"/>
  <c r="X14" i="13" s="1"/>
  <c r="BB17" i="13"/>
  <c r="X17" i="13" s="1"/>
  <c r="BB18" i="13"/>
  <c r="X18" i="13" s="1"/>
  <c r="BB20" i="13"/>
  <c r="X20" i="13" s="1"/>
  <c r="BB21" i="13"/>
  <c r="X21" i="13" s="1"/>
  <c r="BB12" i="13"/>
  <c r="X12" i="13" s="1"/>
  <c r="BB12" i="11"/>
  <c r="X12" i="11" s="1"/>
  <c r="BB10" i="13"/>
  <c r="X10" i="13" s="1"/>
  <c r="BB9" i="13"/>
  <c r="X9" i="13" s="1"/>
  <c r="BB8" i="13"/>
  <c r="BB6" i="13"/>
  <c r="X6" i="13" s="1"/>
  <c r="BB6" i="11"/>
  <c r="X6" i="11" s="1"/>
  <c r="BB8" i="11"/>
  <c r="X8" i="11" s="1"/>
  <c r="BB10" i="11"/>
  <c r="X10" i="11" s="1"/>
  <c r="BB9" i="11"/>
  <c r="X9" i="11" s="1"/>
  <c r="BB5" i="13"/>
  <c r="BB14" i="2"/>
  <c r="X14" i="2" s="1"/>
  <c r="BB16" i="11"/>
  <c r="BB17" i="11"/>
  <c r="X17" i="11" s="1"/>
  <c r="BB18" i="11"/>
  <c r="X18" i="11" s="1"/>
  <c r="BB9" i="2"/>
  <c r="X9" i="2" s="1"/>
  <c r="BB5" i="2"/>
  <c r="BB18" i="2"/>
  <c r="X18" i="2" s="1"/>
  <c r="BB16" i="2"/>
  <c r="X16" i="2" s="1"/>
  <c r="BB12" i="2"/>
  <c r="Y11" i="2" s="1"/>
  <c r="BC11" i="2" s="1"/>
  <c r="BB10" i="2"/>
  <c r="X10" i="2" s="1"/>
  <c r="BB17" i="2"/>
  <c r="X17" i="2" s="1"/>
  <c r="BB13" i="2"/>
  <c r="X13" i="2" s="1"/>
  <c r="BB8" i="2"/>
  <c r="BB16" i="13"/>
  <c r="X5" i="11"/>
  <c r="X16" i="11"/>
  <c r="Y15" i="11"/>
  <c r="BC15" i="11" s="1"/>
  <c r="BB6" i="2"/>
  <c r="X6" i="2" s="1"/>
  <c r="X5" i="2"/>
  <c r="J37" i="8"/>
  <c r="L25" i="4" s="1"/>
  <c r="Y11" i="13" l="1"/>
  <c r="BC11" i="13" s="1"/>
  <c r="Y11" i="11"/>
  <c r="BC11" i="11" s="1"/>
  <c r="X12" i="2"/>
  <c r="Y7" i="13"/>
  <c r="BC7" i="13" s="1"/>
  <c r="X8" i="13"/>
  <c r="Y4" i="13"/>
  <c r="BC4" i="13" s="1"/>
  <c r="Y4" i="2"/>
  <c r="BC4" i="2" s="1"/>
  <c r="Y4" i="11"/>
  <c r="BC4" i="11" s="1"/>
  <c r="Y7" i="11"/>
  <c r="BC7" i="11" s="1"/>
  <c r="BB23" i="11"/>
  <c r="T25" i="11" s="1"/>
  <c r="I22" i="4" s="1"/>
  <c r="X5" i="13"/>
  <c r="BB23" i="13"/>
  <c r="T25" i="13" s="1"/>
  <c r="I23" i="4" s="1"/>
  <c r="X16" i="13"/>
  <c r="Y15" i="13"/>
  <c r="BC15" i="13" s="1"/>
  <c r="Y15" i="2"/>
  <c r="BC15" i="2" s="1"/>
  <c r="X8" i="2"/>
  <c r="Y7" i="2"/>
  <c r="BC7" i="2" s="1"/>
  <c r="BB23" i="2"/>
  <c r="T25" i="2" s="1"/>
  <c r="T23" i="2" l="1"/>
  <c r="H21" i="4" s="1"/>
  <c r="T23" i="11"/>
  <c r="H22" i="4" s="1"/>
  <c r="T23" i="13"/>
  <c r="H23" i="4" s="1"/>
  <c r="AG25" i="2"/>
  <c r="I21" i="4"/>
  <c r="AG23" i="2" l="1"/>
</calcChain>
</file>

<file path=xl/sharedStrings.xml><?xml version="1.0" encoding="utf-8"?>
<sst xmlns="http://schemas.openxmlformats.org/spreadsheetml/2006/main" count="457" uniqueCount="218">
  <si>
    <t xml:space="preserve">INTITULE DU PROJET </t>
  </si>
  <si>
    <t xml:space="preserve">Effectif :  </t>
  </si>
  <si>
    <t>SUPPORT</t>
  </si>
  <si>
    <t>Coller une image donnant un repère visuel du projet</t>
  </si>
  <si>
    <t>ENJEU</t>
  </si>
  <si>
    <t>PROBLEMATIQUE</t>
  </si>
  <si>
    <t>PROFESSEUR REFERENT :</t>
  </si>
  <si>
    <t>EQUIPE PEDAGOGIQUE associée :</t>
  </si>
  <si>
    <r>
      <t>ELEVES du groupe de projet :</t>
    </r>
    <r>
      <rPr>
        <sz val="12"/>
        <color rgb="FF000000"/>
        <rFont val="Arial"/>
        <family val="2"/>
      </rPr>
      <t xml:space="preserve"> </t>
    </r>
  </si>
  <si>
    <t>Nom</t>
  </si>
  <si>
    <t>Prénom</t>
  </si>
  <si>
    <t>GLOBAL</t>
  </si>
  <si>
    <t>Elève A :</t>
  </si>
  <si>
    <t>Elève B :</t>
  </si>
  <si>
    <t>Pluridisciplinarité :</t>
  </si>
  <si>
    <t>Elève C :</t>
  </si>
  <si>
    <t>Elève A:</t>
  </si>
  <si>
    <t>Elève B:</t>
  </si>
  <si>
    <t>Elève C:</t>
  </si>
  <si>
    <t>ETAPES / TACHES</t>
  </si>
  <si>
    <t>SPECIFICATION / PLANIFICATION</t>
  </si>
  <si>
    <t>discipline(s)</t>
  </si>
  <si>
    <t>C1</t>
  </si>
  <si>
    <t>Décrire et expliquer une situation, un système ou un programme</t>
  </si>
  <si>
    <t>C1.1 Justifier dans une situation donnée, un codage numérique ou l'usage d'un format approprié, qu'un programme réalise l'action attendue…</t>
  </si>
  <si>
    <t>C1.2 Détailler le déroulement d'une communication numérique, le rôle des constituants d'un système numérique, le rôle des éléments constitutifs d'une page web, ce qu'effectue tout ou partie d'un programme ou de l'algorithme associé, l'enchaînement des événements qui réalisent la fonction attendue par un programme…</t>
  </si>
  <si>
    <t>C2</t>
  </si>
  <si>
    <t>Concevoir et réaliser une solution informatique en réponse à un problème</t>
  </si>
  <si>
    <t>C2.1 Analyser un besoin dans un système d'information, le fonctionnement d'un algorithme …</t>
  </si>
  <si>
    <t>C2.2 Structurer une formule logique, des données, une arborescence, une page web, une approche fonctionnelle en réponse à un besoin…</t>
  </si>
  <si>
    <t xml:space="preserve">C2.3 Développer une interface logicielle ou une interface homme-machine, un algorithme, un programme, un document ou fichier numérique…
</t>
  </si>
  <si>
    <t>C3</t>
  </si>
  <si>
    <t>Collaborer efficacement au sein d’une équipe dans le cadre d’un projet</t>
  </si>
  <si>
    <t>C3.1 Agir au sein d'une équipe dans des rôles bien définis, en interaction avec le professeur.</t>
  </si>
  <si>
    <t>C3.2 Rechercher et partager une information, une documentation, une explication.</t>
  </si>
  <si>
    <t>C3.3 Maîtriser l'utilisation d'outils numériques collaboratifs du type ENT, système de gestion de contenu (CMS), groupe de travail, forums…</t>
  </si>
  <si>
    <t>C4</t>
  </si>
  <si>
    <t>Communiquer à l'écrit et à l'oral</t>
  </si>
  <si>
    <t>C4.1 Documenter un projet numérique pour en permettre la communication en cours de réalisation et à l'achèvement, tout en précisant le déroulement et la finalité du projet.</t>
  </si>
  <si>
    <t>Les consignes de travail sont appliquées.</t>
  </si>
  <si>
    <t>C4.2 Présenter le cahier des charges relatif à un projet ou un mini-projet, la répartition des tâches au sein de l'équipe, les phases successives mises en œuvre, le déroulement de l'ensemble des opérations…</t>
  </si>
  <si>
    <t>Une surveillance est effectuée.</t>
  </si>
  <si>
    <t>C4.3 Argumenter les choix relatifs à une solution (choix d'un format, d'un algorithme, d'une interface…).</t>
  </si>
  <si>
    <t>Les situations à risques sont pointées.</t>
  </si>
  <si>
    <t>C5</t>
  </si>
  <si>
    <t>Faire un usage responsable des sciences du numé-rique en ayant conscience des problèmes sociétaux induits</t>
  </si>
  <si>
    <t>C5.1 Avoir conscience de l'impact du numérique dans la société notamment de la persistance de l'information numérique, de la non-rivalité des biens immatériels, du caractère supranational des réseaux, de l'importance des licences et du droit.</t>
  </si>
  <si>
    <t>Les équipes de sous-traitants sont intégrées sur le chantier.</t>
  </si>
  <si>
    <t>C5.2 Mesurer les limites et les conséquences de la persistance de l'information numérique, des lois régissant les échanges numériques, du caractère suprana­tional des réseaux.</t>
  </si>
  <si>
    <t>Intervention de professeur(s) autre discipline</t>
  </si>
  <si>
    <t>Nom de l'élève :</t>
  </si>
  <si>
    <t>EA</t>
  </si>
  <si>
    <t>EB</t>
  </si>
  <si>
    <t>EC</t>
  </si>
  <si>
    <t>Contribution de professeurs d'autres disciplines</t>
  </si>
  <si>
    <t>*</t>
  </si>
  <si>
    <t>Prénom :</t>
  </si>
  <si>
    <t>Session</t>
  </si>
  <si>
    <t>Etablissement</t>
  </si>
  <si>
    <t>Effectif</t>
  </si>
  <si>
    <t>Eleves</t>
  </si>
  <si>
    <t>choix</t>
  </si>
  <si>
    <t>Production(s) attendue(s)</t>
  </si>
  <si>
    <t>Nb tâches</t>
  </si>
  <si>
    <t>Question</t>
  </si>
  <si>
    <t>Session 2013</t>
  </si>
  <si>
    <t>Elève A</t>
  </si>
  <si>
    <t>Justifications scientifiques, technologiques, socio-économiques</t>
  </si>
  <si>
    <t>OUI</t>
  </si>
  <si>
    <t>Session 2014</t>
  </si>
  <si>
    <t>Elève B</t>
  </si>
  <si>
    <t>Architectures de solutions</t>
  </si>
  <si>
    <t>NON</t>
  </si>
  <si>
    <t>Session 2015</t>
  </si>
  <si>
    <t>Elève C</t>
  </si>
  <si>
    <t xml:space="preserve">Documents de formalisation de la solution imaginée </t>
  </si>
  <si>
    <t>Session 2016</t>
  </si>
  <si>
    <t>Elève D</t>
  </si>
  <si>
    <t xml:space="preserve">Supports de communication </t>
  </si>
  <si>
    <t>Session 2017</t>
  </si>
  <si>
    <t>Elève E</t>
  </si>
  <si>
    <t>Prototype ou une maquette numérique ou matérielle</t>
  </si>
  <si>
    <t>Session 2018</t>
  </si>
  <si>
    <t>Session 2019</t>
  </si>
  <si>
    <t>Session 2020</t>
  </si>
  <si>
    <t>Les Compétences de C1 à C4 sont évaluables:</t>
  </si>
  <si>
    <t xml:space="preserve"> Plus de 70% des capacités sont prises en compte</t>
  </si>
  <si>
    <t>Compétences C1 à C4 Evaluables</t>
  </si>
  <si>
    <t>Plus de 70% de Capacités prises en compte</t>
  </si>
  <si>
    <t>Question de société , …</t>
  </si>
  <si>
    <t>Problème  à résoudre</t>
  </si>
  <si>
    <t>Faire un usage responsable des sciences du numérique en ayant conscience des problèmes sociétaux induits</t>
  </si>
  <si>
    <t>G.Eiffel</t>
  </si>
  <si>
    <t>Gambetta</t>
  </si>
  <si>
    <t>Mollet</t>
  </si>
  <si>
    <t>Robespierre</t>
  </si>
  <si>
    <t>J.Forest</t>
  </si>
  <si>
    <t>Andre Malraux</t>
  </si>
  <si>
    <t>Carnot</t>
  </si>
  <si>
    <t>L De Vinci</t>
  </si>
  <si>
    <t>Fenelon</t>
  </si>
  <si>
    <t>Duez</t>
  </si>
  <si>
    <t>Pays de Conde</t>
  </si>
  <si>
    <t>Alfred Kastler</t>
  </si>
  <si>
    <t>Edmond Labbe</t>
  </si>
  <si>
    <t>De L'europe</t>
  </si>
  <si>
    <t>J.BART</t>
  </si>
  <si>
    <t>De Flandre</t>
  </si>
  <si>
    <t>Noodover</t>
  </si>
  <si>
    <t>Beaupre</t>
  </si>
  <si>
    <t>Des Flandres</t>
  </si>
  <si>
    <t xml:space="preserve"> Pasteur</t>
  </si>
  <si>
    <t>Jean Perrin</t>
  </si>
  <si>
    <t>Auguste Behal</t>
  </si>
  <si>
    <t>DARRAS</t>
  </si>
  <si>
    <t>Faidherbe</t>
  </si>
  <si>
    <t>Cesar Baggio</t>
  </si>
  <si>
    <t>Anatole France</t>
  </si>
  <si>
    <t>Pascal</t>
  </si>
  <si>
    <t>Pierre Forest</t>
  </si>
  <si>
    <t>Eugene Woillez</t>
  </si>
  <si>
    <t>Jean Rostand</t>
  </si>
  <si>
    <t>Louis Pasteur</t>
  </si>
  <si>
    <t>Couteaux</t>
  </si>
  <si>
    <t>G Sann</t>
  </si>
  <si>
    <t>Alexandre Ribot</t>
  </si>
  <si>
    <t>Chatelet</t>
  </si>
  <si>
    <t>Colbert</t>
  </si>
  <si>
    <t xml:space="preserve"> Wallon</t>
  </si>
  <si>
    <t>Queneau</t>
  </si>
  <si>
    <t>Voltaire</t>
  </si>
  <si>
    <t>Sainte Odile, Lambersart</t>
  </si>
  <si>
    <t>Saint Pierre, Lille</t>
  </si>
  <si>
    <t>Sainte Claire, Lille</t>
  </si>
  <si>
    <t>Frédéric Ozanam, Lille</t>
  </si>
  <si>
    <t>Notre-Dame de la Paix, Lille</t>
  </si>
  <si>
    <t>Sainte Marie, Beaucamps Ligny</t>
  </si>
  <si>
    <t>Jude, Armentières</t>
  </si>
  <si>
    <t>Saint Louis, Armentières</t>
  </si>
  <si>
    <t>Saint Rémi, Roubaix</t>
  </si>
  <si>
    <t>Industriel et commercial privé, Tourcoing</t>
  </si>
  <si>
    <t>E.P.I.D, Dunkerque</t>
  </si>
  <si>
    <t>Saint Jean, Douai</t>
  </si>
  <si>
    <t>Notre Dame des Anges, Saint Amand les Eaux</t>
  </si>
  <si>
    <t>Dampierre, Valenciennes</t>
  </si>
  <si>
    <t>Théophile Legrand, Louvroil</t>
  </si>
  <si>
    <t>Notre-Dame de Grâce, Maubeuge</t>
  </si>
  <si>
    <t>Saint Luc – Notre Dame la Sagesse, Cambrai</t>
  </si>
  <si>
    <t>Saint Michel, Solesmes</t>
  </si>
  <si>
    <t>Baudimont Saint-Charles, Arras</t>
  </si>
  <si>
    <t>Saint Pierre, Calais</t>
  </si>
  <si>
    <t>la Malassise, Longuenesse</t>
  </si>
  <si>
    <t>Nazareth-Haffreingue, Boulogne-sur-Mer</t>
  </si>
  <si>
    <t>CE DOSSIER permet de caractériser un projet proposé en spécialité ISN du BAC S, en vue d'une validation académique.</t>
  </si>
  <si>
    <t>Pour fonctionner, il faut autoriser l'activation des macros (avec une version de MSexcel 2007 au moins).</t>
  </si>
  <si>
    <t>1.</t>
  </si>
  <si>
    <t>Remplir le premier onglet ("Synthèse") en indiquant les éléments donnant le cadre général du projet</t>
  </si>
  <si>
    <t>1.1.</t>
  </si>
  <si>
    <t>Enjeu</t>
  </si>
  <si>
    <t>L'enjeu défini la raison pour laquelle le projet est conduit.  Les  projets doivent s'inscrire dans une réalité scientifique et/ou technologique répondant à un besoin actuel concret de la société.</t>
  </si>
  <si>
    <t>1.2.</t>
  </si>
  <si>
    <t>Problématique</t>
  </si>
  <si>
    <t>La problématique doit traduire l’enjeu en termes d’objectifs scientifiques et/ou techniques . La problématique doit faire apparaitre une valeur ajoutée en termes de service rendu. A formuler sous forme de question.</t>
  </si>
  <si>
    <t>1.3.</t>
  </si>
  <si>
    <t>Support</t>
  </si>
  <si>
    <t>2.</t>
  </si>
  <si>
    <t>Compléter le deuxième onglet ("CdC") définissant le cahier du charge du projet</t>
  </si>
  <si>
    <t>Le cahier des charges doit caractériser les fonctions attendues du  projet.Le cahier des charges est le principal document remis aux élèves pour qu'ils réalisent le projet. Les élèves sont associés au choix et à la formalisation du sujet mais la rédaction du cahier des charges relève de la responsabilité de l’équipe pédagogique, qui garantit le niveau et la faisabilité du projet. Il ne définit aucune solution.</t>
  </si>
  <si>
    <t>3.</t>
  </si>
  <si>
    <t>Décliner le projet en tâches (onglet "Déclinaison projet")</t>
  </si>
  <si>
    <t>- Pour chaque étape jalonnant le projet, lister les tâches prévisionnelles</t>
  </si>
  <si>
    <t>- Répartir les tâches entre les élèves en cochant les cases de la partie droite du tableau</t>
  </si>
  <si>
    <t>- Ajuster la répartition des tâches pour viser un équilibre de la charge horaire par élève d'approximativement 70h</t>
  </si>
  <si>
    <t>- Lorsque le projet est pluri-disciplinaire, vous pouvez préciser les tâches pour lesquelles les professeurs d'autres disciplines apportent plus scpécifiquement leur contribution.</t>
  </si>
  <si>
    <t>4.</t>
  </si>
  <si>
    <t>Pour chaque élève (onglet "Eleve A", "Eleve B", …):</t>
  </si>
  <si>
    <t>Une grille apparaît avec les compétences à évaluer dans le cadre du projet.</t>
  </si>
  <si>
    <t>Cliquer sur l'îcone "Mettre à jour les tâches"; les tâches affectées à l'élève sont automatiquement reportées.</t>
  </si>
  <si>
    <t>Indiquer pour chaque tâche les capacités  qui sont mobilisées</t>
  </si>
  <si>
    <t>Le pourcentage d'indicateurs associés aux capacités évaluables est calculé automatiquement; deux valeurs sont calculeées :</t>
  </si>
  <si>
    <t>en STI2D, le BO précise que 50% au moins des indicateurs de la grille de revues de projet devront être évaluES</t>
  </si>
  <si>
    <t>en STI2D, le BO précise que 50% au moins des indicateurs de la grille de soutenance finale devront être évaluES</t>
  </si>
  <si>
    <t>% d'indicateurs globalement évaluables</t>
  </si>
  <si>
    <t>en SSI, le BO précise que 50% au moins des indicateurs de la grille unique d'évaluation devront êtres évaluES</t>
  </si>
  <si>
    <t>5.</t>
  </si>
  <si>
    <t>* si le pourcentage de capacités associées prises en compte est inférieur à 70% un indicateur rouge apparaitra dans l'onglet synthèse à la ligne de l'élève concerné</t>
  </si>
  <si>
    <t>* Si une compétence n'est pas évaluable , un indicateur rouge apparaitra à la ligne de l'élève concerné</t>
  </si>
  <si>
    <t>REMARQUES IMPORTANTES:</t>
  </si>
  <si>
    <t>L'onglet "Synthèse" permet de s'assurer de la validité du projet</t>
  </si>
  <si>
    <t>Les grilles de déclinaison du projet et validation de tâches par élèves sont renseignées initialement de façon prévisionnelles, et peuvent évoluer en cours de réalisation du projet, pour laisser la place à la dimension créative de la démarche de projet. Les équipes devront s'assurer que ces évolutions laissent toutefois les indicateurs au vert.</t>
  </si>
  <si>
    <t>Annexe 1: MODE D'EMPLOI-Dossier Validation</t>
  </si>
  <si>
    <t>Vérifier sur l'onglet "Synthèse" que les voyants sont au vert, ou éventuellement à l'orange.</t>
  </si>
  <si>
    <t>PATIN MICHEL</t>
  </si>
  <si>
    <t>Tableau des fonctionnalités attendues</t>
  </si>
  <si>
    <t>x</t>
  </si>
  <si>
    <t>Finalisation de la feuille Css</t>
  </si>
  <si>
    <t>Réalisation de la page HTML de présentation</t>
  </si>
  <si>
    <t>Elaboration de la feuille de style Css</t>
  </si>
  <si>
    <t>Construction du  clavier virtuel</t>
  </si>
  <si>
    <t>Création de l'environnement graphique</t>
  </si>
  <si>
    <t>Test de la présence du caractère saisi au sein du mot</t>
  </si>
  <si>
    <t>Gestion de l'évolution de la figure sanction</t>
  </si>
  <si>
    <t xml:space="preserve">Gestion de la fin du jeu </t>
  </si>
  <si>
    <t>Gestion du placement du caractère</t>
  </si>
  <si>
    <t>Esquisse sur papier de la présentation du jeu</t>
  </si>
  <si>
    <t>Rédaction du rapport de présentation</t>
  </si>
  <si>
    <t>Nom1</t>
  </si>
  <si>
    <t>Prénom1</t>
  </si>
  <si>
    <t>Nom2</t>
  </si>
  <si>
    <t>Prénom2</t>
  </si>
  <si>
    <t>Nom3</t>
  </si>
  <si>
    <t>Prénom3</t>
  </si>
  <si>
    <t>Pendu Thématique</t>
  </si>
  <si>
    <t>Aider les élèves d'école primaire à progresser en vocabulaire tout en leur proposant une activité récréative.</t>
  </si>
  <si>
    <t>Tirage d'un mot aléatoire parmi la liste</t>
  </si>
  <si>
    <t>Selection du niveau de jeu et du thème</t>
  </si>
  <si>
    <t>Elaboration des listes de mots par thème</t>
  </si>
  <si>
    <t>Comment créer un jeu de pendu thématique en javascript?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</si>
</sst>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C]General"/>
  </numFmts>
  <fonts count="55">
    <font>
      <sz val="11"/>
      <color theme="1"/>
      <name val="Calibri"/>
      <family val="2"/>
      <scheme val="minor"/>
    </font>
    <font>
      <sz val="11"/>
      <color theme="1"/>
      <name val="Arial"/>
      <family val="2"/>
    </font>
    <font>
      <b/>
      <i/>
      <sz val="16"/>
      <color rgb="FF000000"/>
      <name val="Arial"/>
      <family val="2"/>
    </font>
    <font>
      <b/>
      <sz val="12"/>
      <color rgb="FF000000"/>
      <name val="Arial"/>
      <family val="2"/>
    </font>
    <font>
      <sz val="12"/>
      <color rgb="FF000000"/>
      <name val="Arial"/>
      <family val="2"/>
    </font>
    <font>
      <i/>
      <sz val="10"/>
      <color theme="4" tint="-0.249977111117893"/>
      <name val="Arial"/>
      <family val="2"/>
    </font>
    <font>
      <b/>
      <sz val="14"/>
      <color rgb="FF000000"/>
      <name val="Arial"/>
      <family val="2"/>
    </font>
    <font>
      <i/>
      <sz val="10"/>
      <color rgb="FF000000"/>
      <name val="Arial"/>
      <family val="2"/>
    </font>
    <font>
      <b/>
      <sz val="10"/>
      <color rgb="FF000000"/>
      <name val="Arial"/>
      <family val="2"/>
    </font>
    <font>
      <sz val="11"/>
      <color rgb="FF000000"/>
      <name val="Arial"/>
      <family val="2"/>
    </font>
    <font>
      <sz val="12"/>
      <color theme="1"/>
      <name val="Arial"/>
      <family val="2"/>
    </font>
    <font>
      <sz val="10"/>
      <color rgb="FF000000"/>
      <name val="Arial"/>
      <family val="2"/>
    </font>
    <font>
      <sz val="10"/>
      <name val="Arial"/>
      <family val="2"/>
    </font>
    <font>
      <b/>
      <sz val="18"/>
      <color theme="1"/>
      <name val="Arial"/>
      <family val="2"/>
    </font>
    <font>
      <b/>
      <sz val="12"/>
      <name val="Arial"/>
      <family val="2"/>
    </font>
    <font>
      <sz val="10"/>
      <name val="Verdana"/>
      <family val="2"/>
    </font>
    <font>
      <b/>
      <sz val="12"/>
      <color theme="0"/>
      <name val="Arial"/>
      <family val="2"/>
    </font>
    <font>
      <b/>
      <sz val="11"/>
      <color theme="4" tint="-0.249977111117893"/>
      <name val="Arial"/>
      <family val="2"/>
    </font>
    <font>
      <i/>
      <sz val="10"/>
      <name val="Arial"/>
      <family val="2"/>
    </font>
    <font>
      <b/>
      <sz val="11"/>
      <color rgb="FF000000"/>
      <name val="Arial"/>
      <family val="2"/>
    </font>
    <font>
      <b/>
      <sz val="11"/>
      <color theme="1"/>
      <name val="Arial"/>
      <family val="2"/>
    </font>
    <font>
      <sz val="14"/>
      <color theme="0"/>
      <name val="Arial"/>
      <family val="2"/>
    </font>
    <font>
      <b/>
      <sz val="12"/>
      <color theme="1"/>
      <name val="Arial"/>
      <family val="2"/>
    </font>
    <font>
      <b/>
      <sz val="14"/>
      <color theme="1"/>
      <name val="Arial"/>
      <family val="2"/>
    </font>
    <font>
      <sz val="12"/>
      <name val="Arial"/>
      <family val="2"/>
    </font>
    <font>
      <sz val="10"/>
      <color theme="1"/>
      <name val="Times New Roman"/>
      <family val="1"/>
    </font>
    <font>
      <sz val="14"/>
      <color theme="1"/>
      <name val="Arial"/>
      <family val="2"/>
    </font>
    <font>
      <b/>
      <sz val="16"/>
      <color theme="1"/>
      <name val="Arial"/>
      <family val="2"/>
    </font>
    <font>
      <b/>
      <sz val="10"/>
      <color theme="1"/>
      <name val="Arial"/>
      <family val="2"/>
    </font>
    <font>
      <b/>
      <sz val="11"/>
      <color theme="3"/>
      <name val="Arial"/>
      <family val="2"/>
    </font>
    <font>
      <b/>
      <sz val="14"/>
      <color theme="4" tint="-0.249977111117893"/>
      <name val="Arial"/>
      <family val="2"/>
    </font>
    <font>
      <sz val="20"/>
      <color theme="0"/>
      <name val="Arial"/>
      <family val="2"/>
    </font>
    <font>
      <b/>
      <sz val="20"/>
      <color rgb="FFFF0000"/>
      <name val="Arial"/>
      <family val="2"/>
    </font>
    <font>
      <b/>
      <sz val="12"/>
      <color theme="4" tint="-0.249977111117893"/>
      <name val="Arial"/>
      <family val="2"/>
    </font>
    <font>
      <sz val="10"/>
      <color theme="4" tint="-0.249977111117893"/>
      <name val="Arial"/>
      <family val="2"/>
    </font>
    <font>
      <b/>
      <sz val="14"/>
      <color theme="6" tint="-0.249977111117893"/>
      <name val="Arial"/>
      <family val="2"/>
    </font>
    <font>
      <sz val="10"/>
      <color theme="1"/>
      <name val="Arial"/>
      <family val="2"/>
    </font>
    <font>
      <b/>
      <sz val="11"/>
      <color theme="0" tint="-4.9989318521683403E-2"/>
      <name val="Arial"/>
      <family val="2"/>
    </font>
    <font>
      <sz val="14"/>
      <color theme="1"/>
      <name val="Apple Chancery"/>
    </font>
    <font>
      <i/>
      <sz val="12"/>
      <color theme="0"/>
      <name val="Arial"/>
      <family val="2"/>
    </font>
    <font>
      <b/>
      <sz val="11"/>
      <name val="Arial"/>
      <family val="2"/>
      <charset val="204"/>
    </font>
    <font>
      <sz val="12"/>
      <color theme="6" tint="-0.499984740745262"/>
      <name val="Arial"/>
      <family val="2"/>
    </font>
    <font>
      <i/>
      <sz val="10"/>
      <color theme="1"/>
      <name val="Arial"/>
      <family val="2"/>
    </font>
    <font>
      <b/>
      <sz val="26"/>
      <color theme="1"/>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i/>
      <sz val="11"/>
      <color theme="1"/>
      <name val="Calibri"/>
      <family val="2"/>
      <scheme val="minor"/>
    </font>
    <font>
      <i/>
      <sz val="11"/>
      <color theme="1"/>
      <name val="Arial"/>
      <family val="2"/>
    </font>
    <font>
      <u/>
      <sz val="11"/>
      <color theme="10"/>
      <name val="Calibri"/>
      <family val="2"/>
    </font>
    <font>
      <sz val="12"/>
      <color theme="1"/>
      <name val="Calibri"/>
      <family val="2"/>
      <scheme val="minor"/>
    </font>
    <font>
      <b/>
      <sz val="20"/>
      <color theme="1"/>
      <name val="Calibri"/>
      <family val="2"/>
      <scheme val="minor"/>
    </font>
    <font>
      <b/>
      <sz val="12"/>
      <color theme="1"/>
      <name val="Calibri"/>
      <family val="2"/>
      <scheme val="minor"/>
    </font>
    <font>
      <b/>
      <u/>
      <sz val="12"/>
      <color theme="1"/>
      <name val="Calibri"/>
      <family val="2"/>
      <scheme val="minor"/>
    </font>
    <font>
      <b/>
      <sz val="14"/>
      <color rgb="FF00000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rgb="FFFFFF00"/>
        <bgColor rgb="FFFFFF00"/>
      </patternFill>
    </fill>
    <fill>
      <patternFill patternType="solid">
        <fgColor rgb="FFB7DEE8"/>
        <bgColor rgb="FFB7DEE8"/>
      </patternFill>
    </fill>
    <fill>
      <patternFill patternType="solid">
        <fgColor rgb="FF99FF66"/>
        <bgColor rgb="FF99FF66"/>
      </patternFill>
    </fill>
    <fill>
      <patternFill patternType="solid">
        <fgColor theme="8" tint="0.79995117038483843"/>
        <bgColor indexed="64"/>
      </patternFill>
    </fill>
    <fill>
      <patternFill patternType="solid">
        <fgColor indexed="9"/>
        <bgColor indexed="26"/>
      </patternFill>
    </fill>
    <fill>
      <patternFill patternType="solid">
        <fgColor theme="0" tint="-0.14999847407452621"/>
        <bgColor indexed="64"/>
      </patternFill>
    </fill>
    <fill>
      <patternFill patternType="solid">
        <fgColor theme="0" tint="-0.249977111117893"/>
        <bgColor indexed="64"/>
      </patternFill>
    </fill>
  </fills>
  <borders count="48">
    <border>
      <left/>
      <right/>
      <top/>
      <bottom/>
      <diagonal/>
    </border>
    <border>
      <left style="thin">
        <color theme="3" tint="0.39997558519241921"/>
      </left>
      <right/>
      <top style="thin">
        <color theme="3" tint="0.39997558519241921"/>
      </top>
      <bottom/>
      <diagonal/>
    </border>
    <border>
      <left/>
      <right/>
      <top style="thin">
        <color theme="3" tint="0.39997558519241921"/>
      </top>
      <bottom/>
      <diagonal/>
    </border>
    <border>
      <left/>
      <right style="thin">
        <color theme="3" tint="0.39997558519241921"/>
      </right>
      <top style="thin">
        <color theme="3" tint="0.39997558519241921"/>
      </top>
      <bottom/>
      <diagonal/>
    </border>
    <border>
      <left style="thin">
        <color theme="3" tint="0.39997558519241921"/>
      </left>
      <right/>
      <top/>
      <bottom style="thin">
        <color theme="3" tint="0.39997558519241921"/>
      </bottom>
      <diagonal/>
    </border>
    <border>
      <left/>
      <right/>
      <top/>
      <bottom style="thin">
        <color theme="3" tint="0.39997558519241921"/>
      </bottom>
      <diagonal/>
    </border>
    <border>
      <left/>
      <right style="thin">
        <color theme="3" tint="0.39997558519241921"/>
      </right>
      <top/>
      <bottom style="thin">
        <color theme="3" tint="0.39997558519241921"/>
      </bottom>
      <diagonal/>
    </border>
    <border>
      <left style="thin">
        <color theme="3" tint="0.39997558519241921"/>
      </left>
      <right/>
      <top/>
      <bottom/>
      <diagonal/>
    </border>
    <border>
      <left/>
      <right style="thin">
        <color theme="3" tint="0.39997558519241921"/>
      </right>
      <top/>
      <bottom/>
      <diagonal/>
    </border>
    <border>
      <left style="thin">
        <color theme="3" tint="0.39997558519241921"/>
      </left>
      <right/>
      <top style="thin">
        <color theme="3" tint="0.39997558519241921"/>
      </top>
      <bottom style="thin">
        <color theme="3" tint="0.39997558519241921"/>
      </bottom>
      <diagonal/>
    </border>
    <border>
      <left/>
      <right style="thin">
        <color theme="3" tint="0.39997558519241921"/>
      </right>
      <top style="thin">
        <color theme="3" tint="0.39997558519241921"/>
      </top>
      <bottom style="thin">
        <color theme="3" tint="0.39997558519241921"/>
      </bottom>
      <diagonal/>
    </border>
    <border>
      <left/>
      <right/>
      <top style="thin">
        <color theme="3" tint="0.39997558519241921"/>
      </top>
      <bottom style="thin">
        <color theme="3" tint="0.39997558519241921"/>
      </bottom>
      <diagonal/>
    </border>
    <border>
      <left style="thick">
        <color theme="0"/>
      </left>
      <right style="thick">
        <color theme="0"/>
      </right>
      <top style="thick">
        <color theme="0"/>
      </top>
      <bottom style="thick">
        <color theme="0"/>
      </bottom>
      <diagonal/>
    </border>
    <border>
      <left style="thin">
        <color indexed="64"/>
      </left>
      <right/>
      <top style="thin">
        <color indexed="64"/>
      </top>
      <bottom style="thin">
        <color theme="3" tint="0.39997558519241921"/>
      </bottom>
      <diagonal/>
    </border>
    <border>
      <left/>
      <right style="thin">
        <color indexed="64"/>
      </right>
      <top style="thin">
        <color indexed="64"/>
      </top>
      <bottom style="thin">
        <color theme="3" tint="0.39997558519241921"/>
      </bottom>
      <diagonal/>
    </border>
    <border>
      <left style="thin">
        <color indexed="64"/>
      </left>
      <right/>
      <top style="thin">
        <color theme="3" tint="0.39997558519241921"/>
      </top>
      <bottom style="thin">
        <color theme="3" tint="0.39997558519241921"/>
      </bottom>
      <diagonal/>
    </border>
    <border>
      <left/>
      <right style="thin">
        <color indexed="64"/>
      </right>
      <top style="thin">
        <color theme="3" tint="0.39997558519241921"/>
      </top>
      <bottom style="thin">
        <color theme="3" tint="0.39997558519241921"/>
      </bottom>
      <diagonal/>
    </border>
    <border>
      <left style="thin">
        <color indexed="64"/>
      </left>
      <right/>
      <top style="thin">
        <color theme="3" tint="0.39997558519241921"/>
      </top>
      <bottom style="thin">
        <color indexed="64"/>
      </bottom>
      <diagonal/>
    </border>
    <border>
      <left/>
      <right style="thin">
        <color indexed="64"/>
      </right>
      <top style="thin">
        <color theme="3" tint="0.39997558519241921"/>
      </top>
      <bottom style="thin">
        <color indexed="64"/>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style="thin">
        <color theme="4" tint="-0.249977111117893"/>
      </left>
      <right/>
      <top style="thin">
        <color theme="4" tint="-0.249977111117893"/>
      </top>
      <bottom/>
      <diagonal/>
    </border>
    <border>
      <left/>
      <right/>
      <top style="thin">
        <color theme="4" tint="-0.249977111117893"/>
      </top>
      <bottom/>
      <diagonal/>
    </border>
    <border>
      <left style="thin">
        <color theme="6" tint="-0.249977111117893"/>
      </left>
      <right/>
      <top style="thin">
        <color theme="6" tint="-0.249977111117893"/>
      </top>
      <bottom style="thin">
        <color theme="6" tint="-0.249977111117893"/>
      </bottom>
      <diagonal/>
    </border>
    <border>
      <left/>
      <right style="thin">
        <color theme="6" tint="-0.249977111117893"/>
      </right>
      <top style="thin">
        <color theme="6" tint="-0.249977111117893"/>
      </top>
      <bottom style="thin">
        <color theme="6" tint="-0.249977111117893"/>
      </bottom>
      <diagonal/>
    </border>
    <border>
      <left style="thin">
        <color theme="4" tint="-0.249977111117893"/>
      </left>
      <right/>
      <top/>
      <bottom/>
      <diagonal/>
    </border>
    <border>
      <left style="thin">
        <color theme="6" tint="-0.249977111117893"/>
      </left>
      <right style="thin">
        <color theme="6" tint="-0.249977111117893"/>
      </right>
      <top style="thin">
        <color theme="6" tint="-0.249977111117893"/>
      </top>
      <bottom style="thin">
        <color theme="6" tint="-0.249977111117893"/>
      </bottom>
      <diagonal/>
    </border>
    <border>
      <left style="thin">
        <color rgb="FF000000"/>
      </left>
      <right style="thin">
        <color rgb="FF000000"/>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style="thin">
        <color rgb="FF000000"/>
      </left>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bottom/>
      <diagonal/>
    </border>
    <border>
      <left/>
      <right/>
      <top style="thin">
        <color indexed="64"/>
      </top>
      <bottom style="thin">
        <color indexed="64"/>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theme="4" tint="-0.249977111117893"/>
      </right>
      <top/>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medium">
        <color indexed="64"/>
      </left>
      <right/>
      <top/>
      <bottom style="thin">
        <color indexed="8"/>
      </bottom>
      <diagonal/>
    </border>
    <border>
      <left style="medium">
        <color indexed="64"/>
      </left>
      <right/>
      <top style="thin">
        <color indexed="8"/>
      </top>
      <bottom style="thin">
        <color indexed="8"/>
      </bottom>
      <diagonal/>
    </border>
    <border>
      <left style="medium">
        <color indexed="64"/>
      </left>
      <right/>
      <top style="thin">
        <color indexed="8"/>
      </top>
      <bottom style="medium">
        <color indexed="64"/>
      </bottom>
      <diagonal/>
    </border>
  </borders>
  <cellStyleXfs count="4">
    <xf numFmtId="0" fontId="0" fillId="0" borderId="0"/>
    <xf numFmtId="0" fontId="15" fillId="0" borderId="0"/>
    <xf numFmtId="164" fontId="25" fillId="0" borderId="0"/>
    <xf numFmtId="0" fontId="49" fillId="0" borderId="0" applyNumberFormat="0" applyFill="0" applyBorder="0" applyAlignment="0" applyProtection="0">
      <alignment vertical="top"/>
      <protection locked="0"/>
    </xf>
  </cellStyleXfs>
  <cellXfs count="222">
    <xf numFmtId="0" fontId="0" fillId="0" borderId="0" xfId="0"/>
    <xf numFmtId="0" fontId="1" fillId="0" borderId="0" xfId="0" applyFont="1" applyBorder="1"/>
    <xf numFmtId="0" fontId="2" fillId="0" borderId="0" xfId="0" applyFont="1" applyFill="1" applyBorder="1" applyAlignment="1">
      <alignment horizontal="center" vertical="center" wrapText="1" readingOrder="1"/>
    </xf>
    <xf numFmtId="0" fontId="1" fillId="0" borderId="0" xfId="0" applyFont="1" applyBorder="1" applyAlignment="1"/>
    <xf numFmtId="0" fontId="1" fillId="0" borderId="0" xfId="0" applyFont="1"/>
    <xf numFmtId="0" fontId="4" fillId="0" borderId="0" xfId="0" applyFont="1" applyBorder="1" applyAlignment="1">
      <alignment horizontal="center" vertical="center" wrapText="1" readingOrder="1"/>
    </xf>
    <xf numFmtId="0" fontId="3" fillId="2" borderId="0" xfId="0" applyFont="1" applyFill="1" applyBorder="1" applyAlignment="1">
      <alignment vertical="center" wrapText="1" readingOrder="1"/>
    </xf>
    <xf numFmtId="0" fontId="8" fillId="0" borderId="0" xfId="0" applyFont="1" applyBorder="1" applyAlignment="1">
      <alignment wrapText="1" readingOrder="1"/>
    </xf>
    <xf numFmtId="0" fontId="9" fillId="0" borderId="0" xfId="0" applyFont="1" applyBorder="1" applyAlignment="1">
      <alignment horizontal="right" vertical="center" wrapText="1" readingOrder="1"/>
    </xf>
    <xf numFmtId="0" fontId="10" fillId="0" borderId="0" xfId="0" applyFont="1" applyBorder="1"/>
    <xf numFmtId="0" fontId="11" fillId="0" borderId="0" xfId="0" applyFont="1" applyBorder="1" applyAlignment="1">
      <alignment vertical="center" wrapText="1" readingOrder="1"/>
    </xf>
    <xf numFmtId="0" fontId="10" fillId="0" borderId="0" xfId="0" applyFont="1"/>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12" fillId="0" borderId="0" xfId="0" applyFont="1" applyFill="1" applyBorder="1" applyAlignment="1">
      <alignment vertical="center" wrapText="1" readingOrder="1"/>
    </xf>
    <xf numFmtId="0" fontId="12" fillId="0" borderId="0" xfId="0" applyFont="1" applyBorder="1" applyAlignment="1">
      <alignment vertical="center" wrapText="1" readingOrder="1"/>
    </xf>
    <xf numFmtId="0" fontId="3" fillId="0" borderId="0" xfId="0" applyFont="1" applyBorder="1" applyAlignment="1">
      <alignment vertical="center" wrapText="1" readingOrder="1"/>
    </xf>
    <xf numFmtId="0" fontId="13" fillId="0" borderId="0" xfId="0" applyFont="1" applyBorder="1" applyAlignment="1"/>
    <xf numFmtId="0" fontId="8" fillId="0" borderId="0" xfId="0" applyFont="1" applyBorder="1" applyAlignment="1">
      <alignment horizontal="left" vertical="center" wrapText="1" readingOrder="1"/>
    </xf>
    <xf numFmtId="0" fontId="3" fillId="0" borderId="11" xfId="0" applyFont="1" applyFill="1" applyBorder="1" applyAlignment="1">
      <alignment horizontal="left" vertical="center" wrapText="1" readingOrder="1"/>
    </xf>
    <xf numFmtId="0" fontId="11" fillId="0" borderId="0" xfId="0" applyFont="1" applyFill="1" applyBorder="1" applyAlignment="1">
      <alignment vertical="center" wrapText="1" readingOrder="1"/>
    </xf>
    <xf numFmtId="0" fontId="3" fillId="0" borderId="0" xfId="0" applyFont="1" applyFill="1" applyBorder="1" applyAlignment="1">
      <alignment vertical="center" wrapText="1" readingOrder="1"/>
    </xf>
    <xf numFmtId="0" fontId="12" fillId="0" borderId="0" xfId="0" applyFont="1" applyBorder="1" applyAlignment="1">
      <alignment horizontal="left" vertical="center" wrapText="1" readingOrder="1"/>
    </xf>
    <xf numFmtId="0" fontId="12" fillId="0" borderId="0" xfId="0" applyFont="1" applyFill="1" applyBorder="1" applyAlignment="1">
      <alignment horizontal="left" vertical="center" wrapText="1" readingOrder="1"/>
    </xf>
    <xf numFmtId="0" fontId="1" fillId="0" borderId="0" xfId="0" applyFont="1" applyAlignment="1">
      <alignment vertical="center" textRotation="90" wrapText="1"/>
    </xf>
    <xf numFmtId="0" fontId="14" fillId="4" borderId="0" xfId="1" applyFont="1" applyFill="1" applyBorder="1" applyAlignment="1">
      <alignment horizontal="center" vertical="center" wrapText="1"/>
    </xf>
    <xf numFmtId="0" fontId="17" fillId="0" borderId="0" xfId="0" applyFont="1" applyFill="1" applyBorder="1" applyAlignment="1">
      <alignment horizontal="center" vertical="center"/>
    </xf>
    <xf numFmtId="0" fontId="18" fillId="0" borderId="0" xfId="0" applyFont="1" applyBorder="1" applyAlignment="1">
      <alignment horizontal="left" vertical="center" wrapText="1" indent="4" readingOrder="1"/>
    </xf>
    <xf numFmtId="0" fontId="19" fillId="3" borderId="13" xfId="0" applyFont="1" applyFill="1" applyBorder="1" applyAlignment="1" applyProtection="1">
      <alignment vertical="center" wrapText="1" readingOrder="1"/>
      <protection locked="0"/>
    </xf>
    <xf numFmtId="0" fontId="20" fillId="3" borderId="14" xfId="0" applyFont="1" applyFill="1" applyBorder="1" applyAlignment="1" applyProtection="1">
      <alignment vertical="center"/>
      <protection locked="0"/>
    </xf>
    <xf numFmtId="9" fontId="21" fillId="5" borderId="12" xfId="0" applyNumberFormat="1" applyFont="1" applyFill="1" applyBorder="1" applyAlignment="1">
      <alignment horizontal="center" vertical="center" wrapText="1" readingOrder="1"/>
    </xf>
    <xf numFmtId="0" fontId="21" fillId="0" borderId="12" xfId="0" applyNumberFormat="1" applyFont="1" applyFill="1" applyBorder="1" applyAlignment="1">
      <alignment horizontal="center" vertical="center" wrapText="1" readingOrder="1"/>
    </xf>
    <xf numFmtId="0" fontId="19" fillId="3" borderId="15" xfId="0" applyFont="1" applyFill="1" applyBorder="1" applyAlignment="1" applyProtection="1">
      <alignment vertical="center" wrapText="1" readingOrder="1"/>
      <protection locked="0"/>
    </xf>
    <xf numFmtId="0" fontId="20" fillId="3" borderId="16" xfId="0" applyFont="1" applyFill="1" applyBorder="1" applyAlignment="1" applyProtection="1">
      <alignment vertical="center"/>
      <protection locked="0"/>
    </xf>
    <xf numFmtId="0" fontId="22" fillId="0" borderId="0" xfId="0" applyFont="1" applyBorder="1" applyAlignment="1">
      <alignment horizontal="center" vertical="center"/>
    </xf>
    <xf numFmtId="0" fontId="8" fillId="0" borderId="0" xfId="0" applyFont="1" applyBorder="1" applyAlignment="1">
      <alignment vertical="center" wrapText="1" readingOrder="1"/>
    </xf>
    <xf numFmtId="0" fontId="19" fillId="3" borderId="17" xfId="0" applyFont="1" applyFill="1" applyBorder="1" applyAlignment="1" applyProtection="1">
      <alignment vertical="center" wrapText="1" readingOrder="1"/>
      <protection locked="0"/>
    </xf>
    <xf numFmtId="0" fontId="20" fillId="3" borderId="18" xfId="0" applyFont="1" applyFill="1" applyBorder="1" applyAlignment="1" applyProtection="1">
      <alignment vertical="center"/>
      <protection locked="0"/>
    </xf>
    <xf numFmtId="0" fontId="19" fillId="0" borderId="0" xfId="0" applyFont="1" applyFill="1" applyBorder="1" applyAlignment="1" applyProtection="1">
      <alignment vertical="center" wrapText="1" readingOrder="1"/>
      <protection locked="0"/>
    </xf>
    <xf numFmtId="0" fontId="20" fillId="0" borderId="0" xfId="0" applyFont="1" applyFill="1" applyBorder="1" applyAlignment="1" applyProtection="1">
      <alignment vertical="center"/>
      <protection locked="0"/>
    </xf>
    <xf numFmtId="1" fontId="21" fillId="0" borderId="12" xfId="0" applyNumberFormat="1" applyFont="1" applyFill="1" applyBorder="1" applyAlignment="1">
      <alignment horizontal="center" vertical="center" wrapText="1" readingOrder="1"/>
    </xf>
    <xf numFmtId="0" fontId="23" fillId="0" borderId="0" xfId="0" applyFont="1" applyAlignment="1">
      <alignment horizontal="center" vertical="center"/>
    </xf>
    <xf numFmtId="0" fontId="3" fillId="0" borderId="0" xfId="0" applyFont="1" applyBorder="1" applyAlignment="1">
      <alignment horizontal="left" vertical="center" wrapText="1" readingOrder="1"/>
    </xf>
    <xf numFmtId="0" fontId="11" fillId="0" borderId="0" xfId="0" applyFont="1" applyBorder="1" applyAlignment="1">
      <alignment horizontal="center" vertical="center" wrapText="1"/>
    </xf>
    <xf numFmtId="0" fontId="10" fillId="0" borderId="0" xfId="0" applyFont="1" applyAlignment="1">
      <alignment vertical="center"/>
    </xf>
    <xf numFmtId="0" fontId="24" fillId="2" borderId="0" xfId="0" applyFont="1" applyFill="1" applyBorder="1" applyAlignment="1">
      <alignment vertical="center" wrapText="1" readingOrder="1"/>
    </xf>
    <xf numFmtId="0" fontId="16" fillId="2" borderId="0" xfId="0" applyFont="1" applyFill="1" applyAlignment="1">
      <alignment vertical="center"/>
    </xf>
    <xf numFmtId="0" fontId="1" fillId="0" borderId="0" xfId="0" applyFont="1" applyAlignment="1">
      <alignment vertical="center"/>
    </xf>
    <xf numFmtId="0" fontId="1" fillId="0" borderId="0" xfId="0" applyFont="1" applyAlignment="1">
      <alignment horizontal="left" vertical="center" indent="1"/>
    </xf>
    <xf numFmtId="0" fontId="1" fillId="0" borderId="0" xfId="0" applyFont="1" applyFill="1" applyAlignment="1">
      <alignment vertical="center"/>
    </xf>
    <xf numFmtId="0" fontId="13" fillId="0" borderId="0" xfId="0" applyFont="1" applyAlignment="1">
      <alignment vertical="center"/>
    </xf>
    <xf numFmtId="0" fontId="13" fillId="0" borderId="0" xfId="0" applyFont="1" applyAlignment="1">
      <alignment horizontal="center" vertical="center"/>
    </xf>
    <xf numFmtId="0" fontId="13" fillId="0" borderId="0" xfId="0" applyFont="1" applyBorder="1" applyAlignment="1">
      <alignment horizontal="center" vertical="center"/>
    </xf>
    <xf numFmtId="0" fontId="13" fillId="0" borderId="0" xfId="0" applyFont="1" applyFill="1" applyAlignment="1">
      <alignment horizontal="center" vertical="center"/>
    </xf>
    <xf numFmtId="0" fontId="26" fillId="0" borderId="0" xfId="0" applyFont="1" applyAlignment="1">
      <alignment horizontal="center" vertical="center"/>
    </xf>
    <xf numFmtId="0" fontId="26" fillId="0" borderId="0" xfId="0" applyFont="1" applyBorder="1" applyAlignment="1">
      <alignment horizontal="center" vertical="center"/>
    </xf>
    <xf numFmtId="0" fontId="26" fillId="0" borderId="0" xfId="0" applyFont="1" applyFill="1" applyAlignment="1">
      <alignment horizontal="center" vertical="center"/>
    </xf>
    <xf numFmtId="0" fontId="1" fillId="0" borderId="0" xfId="0" applyFont="1" applyAlignment="1">
      <alignment horizontal="left" indent="1"/>
    </xf>
    <xf numFmtId="0" fontId="1" fillId="0" borderId="0" xfId="0" applyFont="1" applyFill="1"/>
    <xf numFmtId="0" fontId="28" fillId="0" borderId="0" xfId="0" applyFont="1" applyBorder="1" applyAlignment="1">
      <alignment vertical="center" wrapText="1"/>
    </xf>
    <xf numFmtId="0" fontId="28" fillId="2" borderId="0" xfId="0" applyFont="1" applyFill="1" applyBorder="1" applyAlignment="1">
      <alignment vertical="center" wrapText="1"/>
    </xf>
    <xf numFmtId="0" fontId="1" fillId="0" borderId="0" xfId="0" applyFont="1" applyBorder="1" applyAlignment="1">
      <alignment horizontal="left" indent="2"/>
    </xf>
    <xf numFmtId="0" fontId="10" fillId="0" borderId="0" xfId="0" applyFont="1" applyBorder="1" applyAlignment="1">
      <alignment horizontal="left" vertical="top" wrapText="1" indent="2"/>
    </xf>
    <xf numFmtId="0" fontId="10" fillId="0" borderId="0" xfId="0" applyFont="1" applyBorder="1" applyAlignment="1">
      <alignment vertical="top"/>
    </xf>
    <xf numFmtId="0" fontId="10" fillId="0" borderId="0" xfId="0" applyFont="1" applyBorder="1" applyAlignment="1">
      <alignment vertical="center"/>
    </xf>
    <xf numFmtId="0" fontId="29" fillId="0" borderId="0" xfId="0" applyFont="1" applyBorder="1" applyAlignment="1">
      <alignment horizontal="left" vertical="center" wrapText="1" indent="1"/>
    </xf>
    <xf numFmtId="0" fontId="29" fillId="0" borderId="0" xfId="0" applyFont="1" applyBorder="1" applyAlignment="1">
      <alignment horizontal="left" vertical="center" indent="1"/>
    </xf>
    <xf numFmtId="0" fontId="30" fillId="0" borderId="22" xfId="0" applyFont="1" applyBorder="1" applyAlignment="1">
      <alignment horizontal="center" vertical="center" shrinkToFit="1"/>
    </xf>
    <xf numFmtId="0" fontId="30" fillId="2" borderId="0" xfId="0" applyFont="1" applyFill="1" applyBorder="1" applyAlignment="1">
      <alignment horizontal="center" vertical="center"/>
    </xf>
    <xf numFmtId="1" fontId="31" fillId="5" borderId="0" xfId="0" applyNumberFormat="1" applyFont="1" applyFill="1" applyBorder="1" applyAlignment="1">
      <alignment horizontal="center" vertical="center" wrapText="1" readingOrder="1"/>
    </xf>
    <xf numFmtId="1" fontId="32" fillId="2" borderId="0" xfId="0" applyNumberFormat="1" applyFont="1" applyFill="1" applyBorder="1" applyAlignment="1">
      <alignment horizontal="center" vertical="center" wrapText="1" readingOrder="1"/>
    </xf>
    <xf numFmtId="0" fontId="34" fillId="2" borderId="0" xfId="1" applyFont="1" applyFill="1" applyBorder="1" applyAlignment="1">
      <alignment vertical="center" wrapText="1"/>
    </xf>
    <xf numFmtId="0" fontId="36" fillId="0" borderId="0" xfId="0" applyFont="1" applyBorder="1" applyAlignment="1">
      <alignment vertical="top"/>
    </xf>
    <xf numFmtId="0" fontId="37" fillId="2" borderId="27" xfId="0" applyFont="1" applyFill="1" applyBorder="1" applyAlignment="1">
      <alignment horizontal="right" vertical="center"/>
    </xf>
    <xf numFmtId="0" fontId="38" fillId="8" borderId="28" xfId="0" applyFont="1" applyFill="1" applyBorder="1" applyAlignment="1">
      <alignment horizontal="center" vertical="center"/>
    </xf>
    <xf numFmtId="0" fontId="39" fillId="8" borderId="28" xfId="0" applyFont="1" applyFill="1" applyBorder="1" applyAlignment="1">
      <alignment horizontal="center" vertical="center"/>
    </xf>
    <xf numFmtId="0" fontId="38" fillId="2" borderId="0" xfId="0" applyFont="1" applyFill="1" applyBorder="1" applyAlignment="1">
      <alignment horizontal="center" vertical="center"/>
    </xf>
    <xf numFmtId="0" fontId="38" fillId="0" borderId="28" xfId="0" applyFont="1" applyBorder="1" applyAlignment="1">
      <alignment horizontal="center" vertical="center"/>
    </xf>
    <xf numFmtId="0" fontId="41" fillId="9" borderId="0" xfId="0" applyFont="1" applyFill="1" applyBorder="1" applyAlignment="1">
      <alignment horizontal="center" vertical="center"/>
    </xf>
    <xf numFmtId="0" fontId="1" fillId="2" borderId="0" xfId="0" applyFont="1" applyFill="1" applyBorder="1"/>
    <xf numFmtId="164" fontId="28" fillId="10" borderId="29" xfId="2" applyFont="1" applyFill="1" applyBorder="1" applyAlignment="1" applyProtection="1">
      <alignment horizontal="center" vertical="center" wrapText="1"/>
    </xf>
    <xf numFmtId="164" fontId="42" fillId="0" borderId="32" xfId="2" applyFont="1" applyFill="1" applyBorder="1" applyAlignment="1" applyProtection="1">
      <alignment horizontal="center" vertical="center"/>
      <protection locked="0"/>
    </xf>
    <xf numFmtId="164" fontId="28" fillId="10" borderId="29" xfId="2" applyFont="1" applyFill="1" applyBorder="1" applyAlignment="1" applyProtection="1">
      <alignment horizontal="center" vertical="center"/>
    </xf>
    <xf numFmtId="164" fontId="42" fillId="0" borderId="36" xfId="2" applyFont="1" applyFill="1" applyBorder="1" applyAlignment="1" applyProtection="1">
      <alignment horizontal="center" vertical="center"/>
      <protection locked="0"/>
    </xf>
    <xf numFmtId="164" fontId="7" fillId="0" borderId="36" xfId="2" applyFont="1" applyFill="1" applyBorder="1" applyAlignment="1" applyProtection="1">
      <alignment horizontal="center" vertical="center"/>
      <protection locked="0"/>
    </xf>
    <xf numFmtId="0" fontId="0" fillId="0" borderId="0" xfId="0" applyAlignment="1">
      <alignment horizontal="center"/>
    </xf>
    <xf numFmtId="0" fontId="0" fillId="0" borderId="0" xfId="0" applyAlignment="1">
      <alignment horizontal="center" vertical="center"/>
    </xf>
    <xf numFmtId="0" fontId="41" fillId="0" borderId="0" xfId="0" applyFont="1" applyFill="1" applyBorder="1" applyAlignment="1">
      <alignment horizontal="center" vertical="center"/>
    </xf>
    <xf numFmtId="0" fontId="40" fillId="0" borderId="0" xfId="0" applyFont="1" applyFill="1" applyBorder="1" applyAlignment="1">
      <alignment horizontal="center" vertical="center" wrapText="1"/>
    </xf>
    <xf numFmtId="0" fontId="40" fillId="0" borderId="0" xfId="0" applyFont="1" applyFill="1" applyBorder="1" applyAlignment="1">
      <alignment horizontal="left" vertical="center" wrapText="1" indent="2"/>
    </xf>
    <xf numFmtId="0" fontId="38" fillId="0" borderId="0" xfId="0" applyFont="1" applyBorder="1" applyAlignment="1">
      <alignment horizontal="center" vertical="center"/>
    </xf>
    <xf numFmtId="0" fontId="0" fillId="0" borderId="0" xfId="0" applyBorder="1"/>
    <xf numFmtId="0" fontId="38" fillId="0" borderId="0" xfId="0" applyFont="1" applyFill="1" applyBorder="1" applyAlignment="1">
      <alignment horizontal="center" vertical="center"/>
    </xf>
    <xf numFmtId="0" fontId="40" fillId="3" borderId="41" xfId="0" applyFont="1" applyFill="1" applyBorder="1" applyAlignment="1">
      <alignment horizontal="center" vertical="center" wrapText="1"/>
    </xf>
    <xf numFmtId="0" fontId="40" fillId="3" borderId="41" xfId="0" applyFont="1" applyFill="1" applyBorder="1" applyAlignment="1">
      <alignment horizontal="left" vertical="center" wrapText="1" indent="2"/>
    </xf>
    <xf numFmtId="0" fontId="38" fillId="0" borderId="41" xfId="0" applyFont="1" applyBorder="1" applyAlignment="1">
      <alignment horizontal="center" vertical="center"/>
    </xf>
    <xf numFmtId="0" fontId="0" fillId="0" borderId="41" xfId="0" applyBorder="1"/>
    <xf numFmtId="164" fontId="28" fillId="10" borderId="37" xfId="2" applyFont="1" applyFill="1" applyBorder="1" applyAlignment="1" applyProtection="1">
      <alignment horizontal="center" vertical="center" wrapText="1"/>
    </xf>
    <xf numFmtId="0" fontId="0" fillId="13" borderId="0" xfId="0" applyFill="1"/>
    <xf numFmtId="0" fontId="0" fillId="0" borderId="0" xfId="0" applyFill="1"/>
    <xf numFmtId="0" fontId="43" fillId="0" borderId="0" xfId="0" applyFont="1" applyAlignment="1">
      <alignment vertical="center"/>
    </xf>
    <xf numFmtId="0" fontId="0" fillId="2" borderId="0" xfId="0" applyFill="1" applyAlignment="1">
      <alignment horizontal="center"/>
    </xf>
    <xf numFmtId="0" fontId="0" fillId="2" borderId="0" xfId="0" applyFill="1" applyAlignment="1">
      <alignment horizontal="left"/>
    </xf>
    <xf numFmtId="0" fontId="47" fillId="2" borderId="0" xfId="0" applyFont="1" applyFill="1" applyAlignment="1">
      <alignment horizontal="right"/>
    </xf>
    <xf numFmtId="0" fontId="0" fillId="2" borderId="0" xfId="0" applyFill="1"/>
    <xf numFmtId="0" fontId="0" fillId="4" borderId="0" xfId="0" applyFill="1" applyAlignment="1">
      <alignment horizontal="center" vertical="center"/>
    </xf>
    <xf numFmtId="9" fontId="21" fillId="0" borderId="12" xfId="0" applyNumberFormat="1" applyFont="1" applyFill="1" applyBorder="1" applyAlignment="1">
      <alignment horizontal="center" vertical="center" wrapText="1" readingOrder="1"/>
    </xf>
    <xf numFmtId="0" fontId="14" fillId="0" borderId="0" xfId="0" applyFont="1" applyFill="1" applyBorder="1" applyAlignment="1">
      <alignment vertical="center" wrapText="1" readingOrder="1"/>
    </xf>
    <xf numFmtId="0" fontId="10" fillId="0" borderId="0" xfId="0" applyFont="1" applyFill="1" applyAlignment="1">
      <alignment vertical="center"/>
    </xf>
    <xf numFmtId="0" fontId="10" fillId="0" borderId="19" xfId="0" applyFont="1" applyFill="1" applyBorder="1" applyAlignment="1">
      <alignment vertical="center"/>
    </xf>
    <xf numFmtId="0" fontId="24" fillId="0" borderId="0" xfId="0" applyFont="1" applyFill="1" applyBorder="1" applyAlignment="1">
      <alignment vertical="center" wrapText="1" readingOrder="1"/>
    </xf>
    <xf numFmtId="0" fontId="16" fillId="0" borderId="20" xfId="0" applyFont="1" applyFill="1" applyBorder="1" applyAlignment="1">
      <alignment vertical="center"/>
    </xf>
    <xf numFmtId="0" fontId="16" fillId="0" borderId="21" xfId="0" applyFont="1" applyFill="1" applyBorder="1" applyAlignment="1">
      <alignment vertical="center"/>
    </xf>
    <xf numFmtId="0" fontId="16" fillId="0" borderId="0" xfId="0" applyFont="1" applyFill="1" applyAlignment="1">
      <alignment vertical="center"/>
    </xf>
    <xf numFmtId="0" fontId="21" fillId="5" borderId="12" xfId="0" applyFont="1" applyFill="1" applyBorder="1" applyAlignment="1">
      <alignment horizontal="center" vertical="center" wrapText="1" readingOrder="1"/>
    </xf>
    <xf numFmtId="0" fontId="21" fillId="0" borderId="12" xfId="0" applyFont="1" applyFill="1" applyBorder="1" applyAlignment="1">
      <alignment horizontal="center" vertical="center" wrapText="1" readingOrder="1"/>
    </xf>
    <xf numFmtId="0" fontId="26" fillId="0" borderId="43" xfId="0" applyFont="1" applyFill="1" applyBorder="1" applyAlignment="1">
      <alignment horizontal="center" vertical="center" wrapText="1" readingOrder="1"/>
    </xf>
    <xf numFmtId="0" fontId="26" fillId="0" borderId="44" xfId="0" applyFont="1" applyFill="1" applyBorder="1" applyAlignment="1">
      <alignment horizontal="center" vertical="center" wrapText="1" readingOrder="1"/>
    </xf>
    <xf numFmtId="0" fontId="48" fillId="0" borderId="0" xfId="0" applyFont="1" applyAlignment="1">
      <alignment horizontal="right"/>
    </xf>
    <xf numFmtId="0" fontId="48" fillId="0" borderId="0" xfId="0" applyFont="1"/>
    <xf numFmtId="0" fontId="48" fillId="0" borderId="0" xfId="0" applyFont="1" applyFill="1"/>
    <xf numFmtId="0" fontId="0" fillId="14" borderId="45" xfId="0" applyFont="1" applyFill="1" applyBorder="1"/>
    <xf numFmtId="0" fontId="0" fillId="14" borderId="46" xfId="0" applyFont="1" applyFill="1" applyBorder="1"/>
    <xf numFmtId="0" fontId="0" fillId="14" borderId="46" xfId="0" applyFill="1" applyBorder="1"/>
    <xf numFmtId="0" fontId="0" fillId="14" borderId="47" xfId="0" applyFont="1" applyFill="1" applyBorder="1"/>
    <xf numFmtId="0" fontId="0" fillId="0" borderId="0" xfId="0" applyAlignment="1">
      <alignment horizontal="left" indent="1"/>
    </xf>
    <xf numFmtId="0" fontId="50" fillId="0" borderId="0" xfId="0" applyFont="1" applyAlignment="1">
      <alignment horizontal="center"/>
    </xf>
    <xf numFmtId="0" fontId="50" fillId="0" borderId="0" xfId="0" applyFont="1" applyAlignment="1">
      <alignment wrapText="1"/>
    </xf>
    <xf numFmtId="0" fontId="52" fillId="0" borderId="0" xfId="0" applyFont="1" applyAlignment="1">
      <alignment wrapText="1"/>
    </xf>
    <xf numFmtId="0" fontId="50" fillId="0" borderId="0" xfId="0" applyFont="1" applyAlignment="1">
      <alignment horizontal="right"/>
    </xf>
    <xf numFmtId="0" fontId="0" fillId="0" borderId="0" xfId="0" applyAlignment="1">
      <alignment wrapText="1"/>
    </xf>
    <xf numFmtId="0" fontId="50" fillId="0" borderId="0" xfId="0" applyFont="1"/>
    <xf numFmtId="0" fontId="50" fillId="0" borderId="0" xfId="0" quotePrefix="1" applyFont="1" applyAlignment="1">
      <alignment wrapText="1"/>
    </xf>
    <xf numFmtId="0" fontId="47" fillId="0" borderId="0" xfId="0" quotePrefix="1" applyFont="1" applyAlignment="1">
      <alignment wrapText="1"/>
    </xf>
    <xf numFmtId="0" fontId="50" fillId="0" borderId="0" xfId="0" applyFont="1" applyAlignment="1">
      <alignment horizontal="center" vertical="center"/>
    </xf>
    <xf numFmtId="0" fontId="50" fillId="0" borderId="0" xfId="0" applyFont="1" applyAlignment="1">
      <alignment vertical="center" wrapText="1"/>
    </xf>
    <xf numFmtId="0" fontId="50" fillId="0" borderId="0" xfId="0" applyFont="1" applyAlignment="1">
      <alignment vertical="center"/>
    </xf>
    <xf numFmtId="0" fontId="47" fillId="0" borderId="0" xfId="0" applyFont="1" applyAlignment="1">
      <alignment horizontal="left" vertical="center" wrapText="1"/>
    </xf>
    <xf numFmtId="0" fontId="47" fillId="0" borderId="0" xfId="0" applyFont="1" applyAlignment="1">
      <alignment vertical="center" wrapText="1"/>
    </xf>
    <xf numFmtId="0" fontId="52" fillId="4" borderId="0" xfId="0" applyFont="1" applyFill="1" applyAlignment="1">
      <alignment wrapText="1"/>
    </xf>
    <xf numFmtId="0" fontId="50" fillId="4" borderId="0" xfId="0" applyFont="1" applyFill="1" applyAlignment="1">
      <alignment wrapText="1"/>
    </xf>
    <xf numFmtId="0" fontId="47" fillId="0" borderId="0" xfId="0" applyFont="1" applyAlignment="1">
      <alignment wrapText="1"/>
    </xf>
    <xf numFmtId="0" fontId="51" fillId="15" borderId="0" xfId="0" applyFont="1" applyFill="1" applyAlignment="1">
      <alignment horizontal="center" vertical="center" wrapText="1"/>
    </xf>
    <xf numFmtId="0" fontId="53" fillId="16" borderId="0" xfId="0" applyFont="1" applyFill="1" applyAlignment="1">
      <alignment wrapText="1"/>
    </xf>
    <xf numFmtId="0" fontId="26" fillId="0" borderId="0" xfId="0" applyFont="1" applyFill="1" applyBorder="1" applyAlignment="1">
      <alignment horizontal="center" vertical="center"/>
    </xf>
    <xf numFmtId="0" fontId="23" fillId="0" borderId="0" xfId="0" applyFont="1" applyAlignment="1">
      <alignment horizontal="center" vertical="center"/>
    </xf>
    <xf numFmtId="0" fontId="40" fillId="3" borderId="41" xfId="0" applyFont="1" applyFill="1" applyBorder="1" applyAlignment="1">
      <alignment horizontal="left" vertical="center" wrapText="1" indent="2"/>
    </xf>
    <xf numFmtId="0" fontId="0" fillId="13" borderId="41" xfId="0" applyFill="1" applyBorder="1" applyAlignment="1">
      <alignment textRotation="90"/>
    </xf>
    <xf numFmtId="0" fontId="0" fillId="13" borderId="0" xfId="0" applyFill="1"/>
    <xf numFmtId="0" fontId="0" fillId="13" borderId="41" xfId="0" applyFill="1" applyBorder="1" applyAlignment="1">
      <alignment horizontal="center" textRotation="90"/>
    </xf>
    <xf numFmtId="0" fontId="1" fillId="0" borderId="0" xfId="0" applyFont="1" applyFill="1" applyBorder="1" applyAlignment="1">
      <alignment horizontal="center"/>
    </xf>
    <xf numFmtId="0" fontId="2" fillId="0" borderId="0" xfId="0" applyFont="1" applyFill="1" applyBorder="1" applyAlignment="1">
      <alignment horizontal="center" vertical="center" wrapText="1" readingOrder="1"/>
    </xf>
    <xf numFmtId="0" fontId="3" fillId="0" borderId="0" xfId="0" applyFont="1" applyBorder="1" applyAlignment="1">
      <alignment horizontal="left" vertical="center" wrapText="1" readingOrder="1"/>
    </xf>
    <xf numFmtId="0" fontId="5" fillId="0" borderId="0" xfId="0" applyFont="1" applyBorder="1" applyAlignment="1">
      <alignment horizontal="center" vertical="center" wrapText="1" readingOrder="1"/>
    </xf>
    <xf numFmtId="0" fontId="6" fillId="3" borderId="1" xfId="0" applyFont="1" applyFill="1" applyBorder="1" applyAlignment="1" applyProtection="1">
      <alignment horizontal="center" vertical="center" wrapText="1" readingOrder="1"/>
      <protection locked="0"/>
    </xf>
    <xf numFmtId="0" fontId="6" fillId="3" borderId="2" xfId="0" applyFont="1" applyFill="1" applyBorder="1" applyAlignment="1" applyProtection="1">
      <alignment horizontal="center" vertical="center" wrapText="1" readingOrder="1"/>
      <protection locked="0"/>
    </xf>
    <xf numFmtId="0" fontId="6" fillId="3" borderId="3" xfId="0" applyFont="1" applyFill="1" applyBorder="1" applyAlignment="1" applyProtection="1">
      <alignment horizontal="center" vertical="center" wrapText="1" readingOrder="1"/>
      <protection locked="0"/>
    </xf>
    <xf numFmtId="0" fontId="6" fillId="3" borderId="4" xfId="0" applyFont="1" applyFill="1" applyBorder="1" applyAlignment="1" applyProtection="1">
      <alignment horizontal="center" vertical="center" wrapText="1" readingOrder="1"/>
      <protection locked="0"/>
    </xf>
    <xf numFmtId="0" fontId="6" fillId="3" borderId="5" xfId="0" applyFont="1" applyFill="1" applyBorder="1" applyAlignment="1" applyProtection="1">
      <alignment horizontal="center" vertical="center" wrapText="1" readingOrder="1"/>
      <protection locked="0"/>
    </xf>
    <xf numFmtId="0" fontId="6" fillId="3" borderId="6" xfId="0" applyFont="1" applyFill="1" applyBorder="1" applyAlignment="1" applyProtection="1">
      <alignment horizontal="center" vertical="center" wrapText="1" readingOrder="1"/>
      <protection locked="0"/>
    </xf>
    <xf numFmtId="0" fontId="7" fillId="3" borderId="1" xfId="0" applyFont="1" applyFill="1" applyBorder="1" applyAlignment="1" applyProtection="1">
      <alignment horizontal="center" vertical="center" wrapText="1" readingOrder="1"/>
      <protection locked="0"/>
    </xf>
    <xf numFmtId="0" fontId="7" fillId="3" borderId="2" xfId="0" applyFont="1" applyFill="1" applyBorder="1" applyAlignment="1" applyProtection="1">
      <alignment horizontal="center" vertical="center" wrapText="1" readingOrder="1"/>
      <protection locked="0"/>
    </xf>
    <xf numFmtId="0" fontId="7" fillId="3" borderId="3" xfId="0" applyFont="1" applyFill="1" applyBorder="1" applyAlignment="1" applyProtection="1">
      <alignment horizontal="center" vertical="center" wrapText="1" readingOrder="1"/>
      <protection locked="0"/>
    </xf>
    <xf numFmtId="0" fontId="7" fillId="3" borderId="7" xfId="0" applyFont="1" applyFill="1" applyBorder="1" applyAlignment="1" applyProtection="1">
      <alignment horizontal="center" vertical="center" wrapText="1" readingOrder="1"/>
      <protection locked="0"/>
    </xf>
    <xf numFmtId="0" fontId="7" fillId="3" borderId="0" xfId="0" applyFont="1" applyFill="1" applyBorder="1" applyAlignment="1" applyProtection="1">
      <alignment horizontal="center" vertical="center" wrapText="1" readingOrder="1"/>
      <protection locked="0"/>
    </xf>
    <xf numFmtId="0" fontId="7" fillId="3" borderId="8" xfId="0" applyFont="1" applyFill="1" applyBorder="1" applyAlignment="1" applyProtection="1">
      <alignment horizontal="center" vertical="center" wrapText="1" readingOrder="1"/>
      <protection locked="0"/>
    </xf>
    <xf numFmtId="0" fontId="7" fillId="3" borderId="4" xfId="0" applyFont="1" applyFill="1" applyBorder="1" applyAlignment="1" applyProtection="1">
      <alignment horizontal="center" vertical="center" wrapText="1" readingOrder="1"/>
      <protection locked="0"/>
    </xf>
    <xf numFmtId="0" fontId="7" fillId="3" borderId="5" xfId="0" applyFont="1" applyFill="1" applyBorder="1" applyAlignment="1" applyProtection="1">
      <alignment horizontal="center" vertical="center" wrapText="1" readingOrder="1"/>
      <protection locked="0"/>
    </xf>
    <xf numFmtId="0" fontId="7" fillId="3" borderId="6" xfId="0" applyFont="1" applyFill="1" applyBorder="1" applyAlignment="1" applyProtection="1">
      <alignment horizontal="center" vertical="center" wrapText="1" readingOrder="1"/>
      <protection locked="0"/>
    </xf>
    <xf numFmtId="0" fontId="5" fillId="0" borderId="0" xfId="0" applyFont="1" applyFill="1" applyBorder="1" applyAlignment="1">
      <alignment horizontal="center" wrapText="1" readingOrder="1"/>
    </xf>
    <xf numFmtId="0" fontId="9" fillId="3" borderId="1" xfId="0" applyFont="1" applyFill="1" applyBorder="1" applyAlignment="1" applyProtection="1">
      <alignment horizontal="left" vertical="center" wrapText="1" readingOrder="1"/>
      <protection locked="0"/>
    </xf>
    <xf numFmtId="0" fontId="9" fillId="3" borderId="2" xfId="0" applyFont="1" applyFill="1" applyBorder="1" applyAlignment="1" applyProtection="1">
      <alignment horizontal="left" vertical="center" wrapText="1" readingOrder="1"/>
      <protection locked="0"/>
    </xf>
    <xf numFmtId="0" fontId="9" fillId="3" borderId="3" xfId="0" applyFont="1" applyFill="1" applyBorder="1" applyAlignment="1" applyProtection="1">
      <alignment horizontal="left" vertical="center" wrapText="1" readingOrder="1"/>
      <protection locked="0"/>
    </xf>
    <xf numFmtId="0" fontId="9" fillId="3" borderId="4" xfId="0" applyFont="1" applyFill="1" applyBorder="1" applyAlignment="1" applyProtection="1">
      <alignment horizontal="left" vertical="center" wrapText="1" readingOrder="1"/>
      <protection locked="0"/>
    </xf>
    <xf numFmtId="0" fontId="9" fillId="3" borderId="5" xfId="0" applyFont="1" applyFill="1" applyBorder="1" applyAlignment="1" applyProtection="1">
      <alignment horizontal="left" vertical="center" wrapText="1" readingOrder="1"/>
      <protection locked="0"/>
    </xf>
    <xf numFmtId="0" fontId="9" fillId="3" borderId="6" xfId="0" applyFont="1" applyFill="1" applyBorder="1" applyAlignment="1" applyProtection="1">
      <alignment horizontal="left" vertical="center" wrapText="1" readingOrder="1"/>
      <protection locked="0"/>
    </xf>
    <xf numFmtId="0" fontId="5" fillId="0" borderId="0" xfId="0" applyFont="1" applyBorder="1" applyAlignment="1">
      <alignment horizontal="center" wrapText="1" readingOrder="1"/>
    </xf>
    <xf numFmtId="0" fontId="18" fillId="0" borderId="19" xfId="0" applyFont="1" applyBorder="1" applyAlignment="1">
      <alignment horizontal="center" vertical="center" wrapText="1"/>
    </xf>
    <xf numFmtId="0" fontId="11" fillId="0" borderId="0" xfId="0" applyFont="1" applyBorder="1" applyAlignment="1">
      <alignment horizontal="center" vertical="center" wrapText="1"/>
    </xf>
    <xf numFmtId="0" fontId="8" fillId="0" borderId="0" xfId="0" applyFont="1" applyBorder="1" applyAlignment="1">
      <alignment horizontal="right" vertical="center" wrapText="1" readingOrder="1"/>
    </xf>
    <xf numFmtId="0" fontId="8" fillId="0" borderId="8" xfId="0" applyFont="1" applyBorder="1" applyAlignment="1">
      <alignment horizontal="right" vertical="center" wrapText="1" readingOrder="1"/>
    </xf>
    <xf numFmtId="0" fontId="3" fillId="3" borderId="9" xfId="0" applyFont="1" applyFill="1" applyBorder="1" applyAlignment="1" applyProtection="1">
      <alignment horizontal="left" vertical="center" wrapText="1" readingOrder="1"/>
      <protection locked="0"/>
    </xf>
    <xf numFmtId="0" fontId="3" fillId="3" borderId="10" xfId="0" applyFont="1" applyFill="1" applyBorder="1" applyAlignment="1" applyProtection="1">
      <alignment horizontal="left" vertical="center" wrapText="1" readingOrder="1"/>
      <protection locked="0"/>
    </xf>
    <xf numFmtId="0" fontId="3" fillId="3" borderId="11" xfId="0" applyFont="1" applyFill="1" applyBorder="1" applyAlignment="1" applyProtection="1">
      <alignment horizontal="left" vertical="center" wrapText="1" readingOrder="1"/>
      <protection locked="0"/>
    </xf>
    <xf numFmtId="0" fontId="8" fillId="0" borderId="0" xfId="0" applyFont="1" applyBorder="1" applyAlignment="1">
      <alignment horizontal="left" vertical="center" wrapText="1" readingOrder="1"/>
    </xf>
    <xf numFmtId="0" fontId="14" fillId="0" borderId="0" xfId="0" applyFont="1" applyFill="1" applyBorder="1" applyAlignment="1">
      <alignment horizontal="center" vertical="center" wrapText="1" readingOrder="1"/>
    </xf>
    <xf numFmtId="0" fontId="14" fillId="0" borderId="21" xfId="0" applyFont="1" applyFill="1" applyBorder="1" applyAlignment="1">
      <alignment horizontal="center" vertical="center" wrapText="1" readingOrder="1"/>
    </xf>
    <xf numFmtId="0" fontId="49" fillId="0" borderId="0" xfId="3" applyBorder="1" applyAlignment="1" applyProtection="1">
      <alignment horizontal="center" vertical="center" wrapText="1" readingOrder="1"/>
    </xf>
    <xf numFmtId="0" fontId="12" fillId="0" borderId="0" xfId="0" applyFont="1" applyBorder="1" applyAlignment="1">
      <alignment horizontal="center" vertical="center" wrapText="1" readingOrder="1"/>
    </xf>
    <xf numFmtId="0" fontId="26" fillId="0" borderId="0" xfId="0" applyFont="1" applyFill="1" applyBorder="1" applyAlignment="1">
      <alignment horizontal="center" vertical="center" wrapText="1"/>
    </xf>
    <xf numFmtId="0" fontId="26"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35" fillId="6" borderId="25" xfId="0" applyFont="1" applyFill="1" applyBorder="1" applyAlignment="1">
      <alignment horizontal="center" vertical="center" wrapText="1"/>
    </xf>
    <xf numFmtId="0" fontId="35" fillId="6" borderId="26" xfId="0" applyFont="1" applyFill="1" applyBorder="1" applyAlignment="1">
      <alignment horizontal="center" vertical="center" wrapText="1"/>
    </xf>
    <xf numFmtId="0" fontId="37" fillId="7" borderId="27" xfId="0" applyFont="1" applyFill="1" applyBorder="1" applyAlignment="1">
      <alignment horizontal="center" vertical="center" wrapText="1"/>
    </xf>
    <xf numFmtId="0" fontId="37" fillId="7" borderId="0" xfId="0" applyFont="1" applyFill="1" applyBorder="1" applyAlignment="1">
      <alignment horizontal="center" vertical="center" wrapText="1"/>
    </xf>
    <xf numFmtId="0" fontId="37" fillId="7" borderId="42" xfId="0" applyFont="1" applyFill="1" applyBorder="1" applyAlignment="1">
      <alignment horizontal="center" vertical="center" wrapText="1"/>
    </xf>
    <xf numFmtId="0" fontId="33" fillId="6" borderId="23" xfId="1" applyFont="1" applyFill="1" applyBorder="1" applyAlignment="1">
      <alignment horizontal="center" vertical="center" wrapText="1"/>
    </xf>
    <xf numFmtId="0" fontId="33" fillId="6" borderId="24" xfId="1" applyFont="1" applyFill="1" applyBorder="1" applyAlignment="1">
      <alignment horizontal="center" vertical="center" wrapText="1"/>
    </xf>
    <xf numFmtId="0" fontId="46" fillId="13" borderId="0" xfId="0" applyFont="1" applyFill="1" applyAlignment="1">
      <alignment horizontal="right" vertical="center" wrapText="1"/>
    </xf>
    <xf numFmtId="0" fontId="46" fillId="0" borderId="0" xfId="0" applyFont="1" applyAlignment="1">
      <alignment horizontal="right" vertical="center" wrapText="1"/>
    </xf>
    <xf numFmtId="164" fontId="42" fillId="11" borderId="33" xfId="2" applyFont="1" applyFill="1" applyBorder="1" applyAlignment="1" applyProtection="1">
      <alignment horizontal="left" vertical="center" wrapText="1"/>
    </xf>
    <xf numFmtId="164" fontId="42" fillId="11" borderId="34" xfId="2" applyFont="1" applyFill="1" applyBorder="1" applyAlignment="1" applyProtection="1">
      <alignment horizontal="left" vertical="center" wrapText="1"/>
    </xf>
    <xf numFmtId="164" fontId="42" fillId="12" borderId="33" xfId="2" applyFont="1" applyFill="1" applyBorder="1" applyAlignment="1" applyProtection="1">
      <alignment horizontal="left" vertical="center" wrapText="1"/>
    </xf>
    <xf numFmtId="164" fontId="42" fillId="12" borderId="34" xfId="2" applyFont="1" applyFill="1" applyBorder="1" applyAlignment="1" applyProtection="1">
      <alignment horizontal="left" vertical="center" wrapText="1"/>
    </xf>
    <xf numFmtId="164" fontId="42" fillId="11" borderId="39" xfId="2" applyFont="1" applyFill="1" applyBorder="1" applyAlignment="1" applyProtection="1">
      <alignment horizontal="left" vertical="center" wrapText="1"/>
    </xf>
    <xf numFmtId="164" fontId="42" fillId="11" borderId="41" xfId="2" applyFont="1" applyFill="1" applyBorder="1" applyAlignment="1" applyProtection="1">
      <alignment horizontal="left" vertical="center" wrapText="1"/>
    </xf>
    <xf numFmtId="164" fontId="42" fillId="12" borderId="41" xfId="2" applyFont="1" applyFill="1" applyBorder="1" applyAlignment="1" applyProtection="1">
      <alignment horizontal="left" vertical="center" wrapText="1"/>
    </xf>
    <xf numFmtId="164" fontId="28" fillId="10" borderId="41" xfId="2" applyFont="1" applyFill="1" applyBorder="1" applyAlignment="1" applyProtection="1">
      <alignment horizontal="left" vertical="center" wrapText="1"/>
    </xf>
    <xf numFmtId="164" fontId="42" fillId="12" borderId="35" xfId="2" applyFont="1" applyFill="1" applyBorder="1" applyAlignment="1" applyProtection="1">
      <alignment horizontal="left" vertical="center" wrapText="1"/>
    </xf>
    <xf numFmtId="164" fontId="42" fillId="11" borderId="30" xfId="2" applyFont="1" applyFill="1" applyBorder="1" applyAlignment="1" applyProtection="1">
      <alignment horizontal="left" vertical="center" wrapText="1"/>
    </xf>
    <xf numFmtId="164" fontId="42" fillId="11" borderId="31" xfId="2" applyFont="1" applyFill="1" applyBorder="1" applyAlignment="1" applyProtection="1">
      <alignment horizontal="left" vertical="center" wrapText="1"/>
    </xf>
    <xf numFmtId="164" fontId="42" fillId="12" borderId="39" xfId="2" applyFont="1" applyFill="1" applyBorder="1" applyAlignment="1" applyProtection="1">
      <alignment horizontal="left" vertical="center" wrapText="1"/>
    </xf>
    <xf numFmtId="0" fontId="45" fillId="0" borderId="41" xfId="0" applyFont="1" applyBorder="1" applyAlignment="1">
      <alignment horizontal="center"/>
    </xf>
    <xf numFmtId="0" fontId="44" fillId="0" borderId="41" xfId="0" applyFont="1" applyBorder="1" applyAlignment="1">
      <alignment horizontal="center"/>
    </xf>
    <xf numFmtId="0" fontId="0" fillId="0" borderId="40" xfId="0" applyBorder="1" applyAlignment="1">
      <alignment horizontal="center"/>
    </xf>
    <xf numFmtId="164" fontId="28" fillId="10" borderId="38" xfId="2" applyFont="1" applyFill="1" applyBorder="1" applyAlignment="1" applyProtection="1">
      <alignment horizontal="left" vertical="center" wrapText="1"/>
    </xf>
    <xf numFmtId="164" fontId="28" fillId="10" borderId="0" xfId="2" applyFont="1" applyFill="1" applyBorder="1" applyAlignment="1" applyProtection="1">
      <alignment horizontal="left" vertical="center" wrapText="1"/>
    </xf>
    <xf numFmtId="164" fontId="42" fillId="13" borderId="33" xfId="2" applyFont="1" applyFill="1" applyBorder="1" applyAlignment="1" applyProtection="1">
      <alignment horizontal="left" vertical="center" wrapText="1"/>
    </xf>
    <xf numFmtId="164" fontId="42" fillId="13" borderId="34" xfId="2" applyFont="1" applyFill="1" applyBorder="1" applyAlignment="1" applyProtection="1">
      <alignment horizontal="left" vertical="center" wrapText="1"/>
    </xf>
    <xf numFmtId="0" fontId="50" fillId="0" borderId="0" xfId="0" applyFont="1" applyAlignment="1">
      <alignment horizontal="left" vertical="center" wrapText="1"/>
    </xf>
    <xf numFmtId="0" fontId="0" fillId="13" borderId="41" xfId="0" applyFill="1" applyBorder="1"/>
  </cellXfs>
  <cellStyles count="4">
    <cellStyle name="Excel Built-in Normal" xfId="2"/>
    <cellStyle name="Lien hypertexte" xfId="3" builtinId="8"/>
    <cellStyle name="Normal" xfId="0" builtinId="0"/>
    <cellStyle name="Normal 2" xfId="1"/>
  </cellStyles>
  <dxfs count="62">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condense val="0"/>
        <extend val="0"/>
        <color rgb="FF006100"/>
      </font>
      <fill>
        <patternFill>
          <bgColor rgb="FFC6EFCE"/>
        </patternFill>
      </fill>
    </dxf>
    <dxf>
      <font>
        <condense val="0"/>
        <extend val="0"/>
        <color rgb="FF9C0006"/>
      </font>
      <fill>
        <patternFill>
          <bgColor rgb="FFFFC7CE"/>
        </patternFill>
      </fill>
    </dxf>
    <dxf>
      <font>
        <b/>
        <i val="0"/>
        <color theme="0" tint="-0.14999847407452621"/>
      </font>
      <fill>
        <patternFill patternType="solid">
          <fgColor indexed="64"/>
          <bgColor theme="0"/>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b/>
        <i val="0"/>
        <color auto="1"/>
      </font>
      <fill>
        <patternFill patternType="solid">
          <fgColor indexed="64"/>
          <bgColor rgb="FFFFFF00"/>
        </patternFill>
      </fill>
      <border>
        <left/>
        <right/>
        <top/>
        <bottom/>
      </border>
    </dxf>
    <dxf>
      <font>
        <b/>
        <i val="0"/>
        <color auto="1"/>
      </font>
      <fill>
        <patternFill patternType="solid">
          <fgColor indexed="64"/>
          <bgColor rgb="FF00FF00"/>
        </patternFill>
      </fill>
    </dxf>
  </dxfs>
  <tableStyles count="0" defaultTableStyle="TableStyleMedium9"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Drop" dropLines="82" dropStyle="combo" dx="16" fmlaRange="parametres!$A$2:$A$9" sel="2" val="0"/>
</file>

<file path=xl/ctrlProps/ctrlProp2.xml><?xml version="1.0" encoding="utf-8"?>
<formControlPr xmlns="http://schemas.microsoft.com/office/spreadsheetml/2009/9/main" objectType="Drop" dropLines="82" dropStyle="combo" dx="16" fmlaRange="parametres!$B$2:$B$62" sel="10" val="0"/>
</file>

<file path=xl/ctrlProps/ctrlProp3.xml><?xml version="1.0" encoding="utf-8"?>
<formControlPr xmlns="http://schemas.microsoft.com/office/spreadsheetml/2009/9/main" objectType="Drop" dropLines="82" dropStyle="combo" dx="16" fmlaRange="parametres!$C$2:$C$3"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266700</xdr:colOff>
      <xdr:row>0</xdr:row>
      <xdr:rowOff>152399</xdr:rowOff>
    </xdr:from>
    <xdr:to>
      <xdr:col>11</xdr:col>
      <xdr:colOff>1591733</xdr:colOff>
      <xdr:row>4</xdr:row>
      <xdr:rowOff>33866</xdr:rowOff>
    </xdr:to>
    <xdr:pic>
      <xdr:nvPicPr>
        <xdr:cNvPr id="2" name="Image 1" descr="acad+e"/>
        <xdr:cNvPicPr/>
      </xdr:nvPicPr>
      <xdr:blipFill>
        <a:blip xmlns:r="http://schemas.openxmlformats.org/officeDocument/2006/relationships" r:embed="rId1" cstate="print"/>
        <a:srcRect/>
        <a:stretch>
          <a:fillRect/>
        </a:stretch>
      </xdr:blipFill>
      <xdr:spPr bwMode="auto">
        <a:xfrm>
          <a:off x="11668125" y="152399"/>
          <a:ext cx="1325033" cy="891117"/>
        </a:xfrm>
        <a:prstGeom prst="rect">
          <a:avLst/>
        </a:prstGeom>
        <a:noFill/>
        <a:ln w="9525">
          <a:noFill/>
          <a:miter lim="800000"/>
          <a:headEnd/>
          <a:tailEnd/>
        </a:ln>
      </xdr:spPr>
    </xdr:pic>
    <xdr:clientData/>
  </xdr:twoCellAnchor>
  <xdr:oneCellAnchor>
    <xdr:from>
      <xdr:col>0</xdr:col>
      <xdr:colOff>0</xdr:colOff>
      <xdr:row>0</xdr:row>
      <xdr:rowOff>0</xdr:rowOff>
    </xdr:from>
    <xdr:ext cx="7505700" cy="901700"/>
    <xdr:sp macro="" textlink="">
      <xdr:nvSpPr>
        <xdr:cNvPr id="3" name="Rectangle 2"/>
        <xdr:cNvSpPr/>
      </xdr:nvSpPr>
      <xdr:spPr>
        <a:xfrm>
          <a:off x="0" y="0"/>
          <a:ext cx="75057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FICHE PROJET</a:t>
          </a:r>
        </a:p>
      </xdr:txBody>
    </xdr:sp>
    <xdr:clientData/>
  </xdr:oneCellAnchor>
  <xdr:twoCellAnchor>
    <xdr:from>
      <xdr:col>6</xdr:col>
      <xdr:colOff>762000</xdr:colOff>
      <xdr:row>17</xdr:row>
      <xdr:rowOff>241300</xdr:rowOff>
    </xdr:from>
    <xdr:to>
      <xdr:col>11</xdr:col>
      <xdr:colOff>1488622</xdr:colOff>
      <xdr:row>25</xdr:row>
      <xdr:rowOff>215900</xdr:rowOff>
    </xdr:to>
    <xdr:sp macro="" textlink="">
      <xdr:nvSpPr>
        <xdr:cNvPr id="5" name="Rectangle à coins arrondis 4"/>
        <xdr:cNvSpPr/>
      </xdr:nvSpPr>
      <xdr:spPr>
        <a:xfrm>
          <a:off x="7937500" y="6032500"/>
          <a:ext cx="4968422" cy="2413000"/>
        </a:xfrm>
        <a:prstGeom prst="roundRect">
          <a:avLst>
            <a:gd name="adj" fmla="val 5729"/>
          </a:avLst>
        </a:prstGeom>
        <a:noFill/>
        <a:ln w="38100" cmpd="sng">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6</xdr:col>
          <xdr:colOff>57150</xdr:colOff>
          <xdr:row>1</xdr:row>
          <xdr:rowOff>142875</xdr:rowOff>
        </xdr:from>
        <xdr:to>
          <xdr:col>8</xdr:col>
          <xdr:colOff>695325</xdr:colOff>
          <xdr:row>2</xdr:row>
          <xdr:rowOff>104775</xdr:rowOff>
        </xdr:to>
        <xdr:sp macro="" textlink="">
          <xdr:nvSpPr>
            <xdr:cNvPr id="1025" name="Drop Down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0</xdr:row>
          <xdr:rowOff>142875</xdr:rowOff>
        </xdr:from>
        <xdr:to>
          <xdr:col>8</xdr:col>
          <xdr:colOff>695325</xdr:colOff>
          <xdr:row>1</xdr:row>
          <xdr:rowOff>104775</xdr:rowOff>
        </xdr:to>
        <xdr:sp macro="" textlink="">
          <xdr:nvSpPr>
            <xdr:cNvPr id="1026" name="Drop Down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9525</xdr:rowOff>
        </xdr:from>
        <xdr:to>
          <xdr:col>5</xdr:col>
          <xdr:colOff>0</xdr:colOff>
          <xdr:row>4</xdr:row>
          <xdr:rowOff>190500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twoCellAnchor editAs="oneCell">
    <xdr:from>
      <xdr:col>7</xdr:col>
      <xdr:colOff>323850</xdr:colOff>
      <xdr:row>6</xdr:row>
      <xdr:rowOff>0</xdr:rowOff>
    </xdr:from>
    <xdr:to>
      <xdr:col>11</xdr:col>
      <xdr:colOff>542925</xdr:colOff>
      <xdr:row>12</xdr:row>
      <xdr:rowOff>272168</xdr:rowOff>
    </xdr:to>
    <xdr:pic>
      <xdr:nvPicPr>
        <xdr:cNvPr id="9" name="Image 8"/>
        <xdr:cNvPicPr/>
      </xdr:nvPicPr>
      <xdr:blipFill>
        <a:blip xmlns:r="http://schemas.openxmlformats.org/officeDocument/2006/relationships" r:embed="rId2"/>
        <a:srcRect l="26928" t="15531" r="10942" b="14525"/>
        <a:stretch>
          <a:fillRect/>
        </a:stretch>
      </xdr:blipFill>
      <xdr:spPr bwMode="auto">
        <a:xfrm>
          <a:off x="7820025" y="1619250"/>
          <a:ext cx="3667125" cy="3015368"/>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2" name="Rectangle 1"/>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CAHIER</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DES CHARGES</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editAs="oneCell">
    <xdr:from>
      <xdr:col>0</xdr:col>
      <xdr:colOff>657225</xdr:colOff>
      <xdr:row>4</xdr:row>
      <xdr:rowOff>341224</xdr:rowOff>
    </xdr:from>
    <xdr:to>
      <xdr:col>7</xdr:col>
      <xdr:colOff>647700</xdr:colOff>
      <xdr:row>22</xdr:row>
      <xdr:rowOff>180976</xdr:rowOff>
    </xdr:to>
    <xdr:pic>
      <xdr:nvPicPr>
        <xdr:cNvPr id="9217" name="Picture 1"/>
        <xdr:cNvPicPr>
          <a:picLocks noChangeAspect="1" noChangeArrowheads="1"/>
        </xdr:cNvPicPr>
      </xdr:nvPicPr>
      <xdr:blipFill>
        <a:blip xmlns:r="http://schemas.openxmlformats.org/officeDocument/2006/relationships" r:embed="rId1"/>
        <a:srcRect l="937" t="20898" r="18281" b="7715"/>
        <a:stretch>
          <a:fillRect/>
        </a:stretch>
      </xdr:blipFill>
      <xdr:spPr bwMode="auto">
        <a:xfrm>
          <a:off x="657225" y="1560424"/>
          <a:ext cx="10363200" cy="7326402"/>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13606</xdr:colOff>
      <xdr:row>0</xdr:row>
      <xdr:rowOff>13607</xdr:rowOff>
    </xdr:from>
    <xdr:ext cx="6776357" cy="901700"/>
    <xdr:sp macro="" textlink="">
      <xdr:nvSpPr>
        <xdr:cNvPr id="2" name="Rectangle 1"/>
        <xdr:cNvSpPr/>
      </xdr:nvSpPr>
      <xdr:spPr>
        <a:xfrm>
          <a:off x="13606" y="13607"/>
          <a:ext cx="6776357" cy="901700"/>
        </a:xfrm>
        <a:prstGeom prst="rect">
          <a:avLst/>
        </a:prstGeom>
        <a:noFill/>
      </xdr:spPr>
      <xdr:txBody>
        <a:bodyPr wrap="none" lIns="91440" tIns="45720" rIns="91440" bIns="45720" anchor="t">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DECLINAISON DU PROJET</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EN TÂCHES</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xdr:from>
      <xdr:col>1</xdr:col>
      <xdr:colOff>0</xdr:colOff>
      <xdr:row>2</xdr:row>
      <xdr:rowOff>326571</xdr:rowOff>
    </xdr:from>
    <xdr:to>
      <xdr:col>2</xdr:col>
      <xdr:colOff>0</xdr:colOff>
      <xdr:row>7</xdr:row>
      <xdr:rowOff>0</xdr:rowOff>
    </xdr:to>
    <xdr:sp macro="" textlink="">
      <xdr:nvSpPr>
        <xdr:cNvPr id="3" name="Rectangle avec flèche vers le bas 2"/>
        <xdr:cNvSpPr/>
      </xdr:nvSpPr>
      <xdr:spPr>
        <a:xfrm>
          <a:off x="299357" y="1074964"/>
          <a:ext cx="3592286" cy="1510393"/>
        </a:xfrm>
        <a:prstGeom prst="downArrowCallout">
          <a:avLst>
            <a:gd name="adj1" fmla="val 19520"/>
            <a:gd name="adj2" fmla="val 25000"/>
            <a:gd name="adj3" fmla="val 25000"/>
            <a:gd name="adj4" fmla="val 49551"/>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chemeClr val="accent1">
                  <a:lumMod val="50000"/>
                </a:schemeClr>
              </a:solidFill>
              <a:latin typeface="Arial"/>
              <a:cs typeface="Arial"/>
            </a:rPr>
            <a:t>1. Pour chaque étape de la démarche de projet, décliner les tâches à réaliser.</a:t>
          </a:r>
        </a:p>
      </xdr:txBody>
    </xdr:sp>
    <xdr:clientData/>
  </xdr:twoCellAnchor>
  <xdr:twoCellAnchor>
    <xdr:from>
      <xdr:col>2</xdr:col>
      <xdr:colOff>95250</xdr:colOff>
      <xdr:row>1</xdr:row>
      <xdr:rowOff>315230</xdr:rowOff>
    </xdr:from>
    <xdr:to>
      <xdr:col>5</xdr:col>
      <xdr:colOff>95250</xdr:colOff>
      <xdr:row>5</xdr:row>
      <xdr:rowOff>905</xdr:rowOff>
    </xdr:to>
    <xdr:sp macro="" textlink="">
      <xdr:nvSpPr>
        <xdr:cNvPr id="4" name="Rectangle avec flèche vers le bas 3"/>
        <xdr:cNvSpPr/>
      </xdr:nvSpPr>
      <xdr:spPr>
        <a:xfrm>
          <a:off x="3986893" y="696230"/>
          <a:ext cx="2286000" cy="1223282"/>
        </a:xfrm>
        <a:prstGeom prst="downArrowCallout">
          <a:avLst>
            <a:gd name="adj1" fmla="val 19520"/>
            <a:gd name="adj2" fmla="val 22260"/>
            <a:gd name="adj3" fmla="val 25000"/>
            <a:gd name="adj4" fmla="val 56758"/>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rgbClr val="254061"/>
              </a:solidFill>
              <a:latin typeface="Arial"/>
              <a:cs typeface="Arial"/>
            </a:rPr>
            <a:t>2. Répartir ensuite les</a:t>
          </a:r>
          <a:r>
            <a:rPr lang="fr-FR" sz="1200" b="0" baseline="0">
              <a:solidFill>
                <a:srgbClr val="254061"/>
              </a:solidFill>
              <a:latin typeface="Arial"/>
              <a:cs typeface="Arial"/>
            </a:rPr>
            <a:t> tâches entre les élèves du groupe (A, B, C, ...)</a:t>
          </a:r>
        </a:p>
        <a:p>
          <a:pPr algn="l"/>
          <a:r>
            <a:rPr lang="fr-FR" sz="1200" b="1" u="none" baseline="0">
              <a:solidFill>
                <a:srgbClr val="254061"/>
              </a:solidFill>
              <a:latin typeface="Arial"/>
              <a:cs typeface="Arial"/>
            </a:rPr>
            <a:t>DOUBLE-CLIQUER dans une case pour AFFECTER LA TACHE</a:t>
          </a:r>
          <a:endParaRPr lang="fr-FR" sz="1200" b="1" u="none">
            <a:solidFill>
              <a:srgbClr val="254061"/>
            </a:solidFill>
            <a:latin typeface="Arial"/>
            <a:cs typeface="Arial"/>
          </a:endParaRPr>
        </a:p>
      </xdr:txBody>
    </xdr:sp>
    <xdr:clientData/>
  </xdr:twoCellAnchor>
  <xdr:twoCellAnchor>
    <xdr:from>
      <xdr:col>5</xdr:col>
      <xdr:colOff>489856</xdr:colOff>
      <xdr:row>2</xdr:row>
      <xdr:rowOff>367393</xdr:rowOff>
    </xdr:from>
    <xdr:to>
      <xdr:col>8</xdr:col>
      <xdr:colOff>0</xdr:colOff>
      <xdr:row>7</xdr:row>
      <xdr:rowOff>0</xdr:rowOff>
    </xdr:to>
    <xdr:sp macro="" textlink="">
      <xdr:nvSpPr>
        <xdr:cNvPr id="5" name="Rectangle avec flèche vers le bas 4"/>
        <xdr:cNvSpPr/>
      </xdr:nvSpPr>
      <xdr:spPr>
        <a:xfrm>
          <a:off x="6667499" y="1115786"/>
          <a:ext cx="2490108" cy="1469571"/>
        </a:xfrm>
        <a:prstGeom prst="downArrowCallout">
          <a:avLst>
            <a:gd name="adj1" fmla="val 8015"/>
            <a:gd name="adj2" fmla="val 15549"/>
            <a:gd name="adj3" fmla="val 14453"/>
            <a:gd name="adj4" fmla="val 79794"/>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rgbClr val="254061"/>
              </a:solidFill>
              <a:latin typeface="Arial"/>
              <a:cs typeface="Arial"/>
            </a:rPr>
            <a:t>3. Le cas échéant, indiquez ici les tâches pour lesquelles un professeur d'une autre discipline (Philosophie, Art,H/G,</a:t>
          </a:r>
          <a:r>
            <a:rPr lang="fr-FR" sz="1200" b="0" baseline="0">
              <a:solidFill>
                <a:srgbClr val="254061"/>
              </a:solidFill>
              <a:latin typeface="Arial"/>
              <a:cs typeface="Arial"/>
            </a:rPr>
            <a:t> ...) apporte plus spécifiquement sa  contribution à l'encadrement du projet.</a:t>
          </a:r>
        </a:p>
        <a:p>
          <a:pPr algn="l"/>
          <a:endParaRPr lang="fr-FR" sz="1200" b="0" baseline="0">
            <a:solidFill>
              <a:srgbClr val="254061"/>
            </a:solidFill>
            <a:latin typeface="Arial"/>
            <a:cs typeface="Arial"/>
          </a:endParaRPr>
        </a:p>
        <a:p>
          <a:pPr algn="l"/>
          <a:endParaRPr lang="fr-FR" sz="1200" b="0" u="none">
            <a:solidFill>
              <a:srgbClr val="254061"/>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1102178</xdr:colOff>
      <xdr:row>0</xdr:row>
      <xdr:rowOff>0</xdr:rowOff>
    </xdr:from>
    <xdr:ext cx="5740400" cy="901700"/>
    <xdr:sp macro="" textlink="">
      <xdr:nvSpPr>
        <xdr:cNvPr id="6" name="Rectangle 5"/>
        <xdr:cNvSpPr/>
      </xdr:nvSpPr>
      <xdr:spPr>
        <a:xfrm>
          <a:off x="2626178"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mc:AlternateContent xmlns:mc="http://schemas.openxmlformats.org/markup-compatibility/2006">
    <mc:Choice xmlns:a14="http://schemas.microsoft.com/office/drawing/2010/main" Requires="a14">
      <xdr:twoCellAnchor>
        <xdr:from>
          <xdr:col>2</xdr:col>
          <xdr:colOff>4562475</xdr:colOff>
          <xdr:row>2</xdr:row>
          <xdr:rowOff>390525</xdr:rowOff>
        </xdr:from>
        <xdr:to>
          <xdr:col>2</xdr:col>
          <xdr:colOff>6410325</xdr:colOff>
          <xdr:row>2</xdr:row>
          <xdr:rowOff>1247775</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000000"/>
                  </a:solidFill>
                  <a:latin typeface="Calibri"/>
                </a:rPr>
                <a:t>Mise à jour des tâches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2</xdr:col>
      <xdr:colOff>1183822</xdr:colOff>
      <xdr:row>0</xdr:row>
      <xdr:rowOff>0</xdr:rowOff>
    </xdr:from>
    <xdr:ext cx="5740400" cy="901700"/>
    <xdr:sp macro="" textlink="">
      <xdr:nvSpPr>
        <xdr:cNvPr id="2" name="Rectangle 1"/>
        <xdr:cNvSpPr/>
      </xdr:nvSpPr>
      <xdr:spPr>
        <a:xfrm>
          <a:off x="2707822"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mc:AlternateContent xmlns:mc="http://schemas.openxmlformats.org/markup-compatibility/2006">
    <mc:Choice xmlns:a14="http://schemas.microsoft.com/office/drawing/2010/main" Requires="a14">
      <xdr:twoCellAnchor>
        <xdr:from>
          <xdr:col>2</xdr:col>
          <xdr:colOff>4562475</xdr:colOff>
          <xdr:row>2</xdr:row>
          <xdr:rowOff>390525</xdr:rowOff>
        </xdr:from>
        <xdr:to>
          <xdr:col>2</xdr:col>
          <xdr:colOff>6410325</xdr:colOff>
          <xdr:row>2</xdr:row>
          <xdr:rowOff>1247775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000000"/>
                  </a:solidFill>
                  <a:latin typeface="Calibri"/>
                </a:rPr>
                <a:t>Mise à jour des tâches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1183821</xdr:colOff>
      <xdr:row>0</xdr:row>
      <xdr:rowOff>13607</xdr:rowOff>
    </xdr:from>
    <xdr:ext cx="5740400" cy="901700"/>
    <xdr:sp macro="" textlink="">
      <xdr:nvSpPr>
        <xdr:cNvPr id="2" name="Rectangle 1"/>
        <xdr:cNvSpPr/>
      </xdr:nvSpPr>
      <xdr:spPr>
        <a:xfrm>
          <a:off x="2707821" y="13607"/>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mc:AlternateContent xmlns:mc="http://schemas.openxmlformats.org/markup-compatibility/2006">
    <mc:Choice xmlns:a14="http://schemas.microsoft.com/office/drawing/2010/main" Requires="a14">
      <xdr:twoCellAnchor>
        <xdr:from>
          <xdr:col>2</xdr:col>
          <xdr:colOff>4562475</xdr:colOff>
          <xdr:row>2</xdr:row>
          <xdr:rowOff>390525</xdr:rowOff>
        </xdr:from>
        <xdr:to>
          <xdr:col>2</xdr:col>
          <xdr:colOff>6410325</xdr:colOff>
          <xdr:row>2</xdr:row>
          <xdr:rowOff>1247775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400" b="1" i="0" u="none" strike="noStrike" baseline="0">
                  <a:solidFill>
                    <a:srgbClr val="000000"/>
                  </a:solidFill>
                  <a:latin typeface="Calibri"/>
                </a:rPr>
                <a:t>Mise à jour des tâches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familly\Downloads\Essais_dossier_proj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ynthèse"/>
      <sheetName val="CdC"/>
      <sheetName val="Déclinaison projet"/>
      <sheetName val="Elève A"/>
      <sheetName val="Elève B"/>
      <sheetName val="Elève C"/>
      <sheetName val="MODE EMPLOI"/>
      <sheetName val="parametres"/>
    </sheetNames>
    <sheetDataSet>
      <sheetData sheetId="0"/>
      <sheetData sheetId="1"/>
      <sheetData sheetId="2"/>
      <sheetData sheetId="3">
        <row r="1">
          <cell r="P1" t="str">
            <v>X</v>
          </cell>
        </row>
      </sheetData>
      <sheetData sheetId="4">
        <row r="1">
          <cell r="P1" t="str">
            <v>X</v>
          </cell>
        </row>
      </sheetData>
      <sheetData sheetId="5">
        <row r="1">
          <cell r="P1" t="str">
            <v>X</v>
          </cell>
        </row>
      </sheetData>
      <sheetData sheetId="6"/>
      <sheetData sheetId="7">
        <row r="2">
          <cell r="F2" t="str">
            <v>Elève A</v>
          </cell>
        </row>
        <row r="3">
          <cell r="F3" t="str">
            <v>Elève B</v>
          </cell>
        </row>
        <row r="4">
          <cell r="F4" t="str">
            <v>Elève C</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FF0000"/>
    <pageSetUpPr fitToPage="1"/>
  </sheetPr>
  <dimension ref="A1:N30"/>
  <sheetViews>
    <sheetView topLeftCell="A4" workbookViewId="0">
      <selection activeCell="B12" sqref="B12:E13"/>
    </sheetView>
  </sheetViews>
  <sheetFormatPr baseColWidth="10" defaultColWidth="10.85546875" defaultRowHeight="14.25"/>
  <cols>
    <col min="1" max="1" width="10.85546875" style="4" customWidth="1"/>
    <col min="2" max="2" width="21.42578125" style="4" customWidth="1"/>
    <col min="3" max="3" width="16.7109375" style="4" customWidth="1"/>
    <col min="4" max="7" width="15.85546875" style="4" customWidth="1"/>
    <col min="8" max="8" width="16.85546875" style="4" customWidth="1"/>
    <col min="9" max="9" width="21" style="4" customWidth="1"/>
    <col min="10" max="10" width="13.85546875" style="4" hidden="1" customWidth="1"/>
    <col min="11" max="11" width="13.85546875" style="4" customWidth="1"/>
    <col min="12" max="12" width="24.42578125" style="4" customWidth="1"/>
    <col min="13" max="13" width="26.28515625" style="4" customWidth="1"/>
    <col min="14" max="16384" width="10.85546875" style="4"/>
  </cols>
  <sheetData>
    <row r="1" spans="1:14" ht="24" customHeight="1">
      <c r="A1" s="1"/>
      <c r="B1" s="2"/>
      <c r="C1" s="2"/>
      <c r="D1" s="2"/>
      <c r="E1" s="2"/>
      <c r="F1" s="3"/>
      <c r="G1" s="150"/>
      <c r="H1" s="150"/>
      <c r="I1" s="150"/>
      <c r="J1" s="150"/>
      <c r="K1" s="150"/>
      <c r="L1" s="3"/>
      <c r="M1" s="1"/>
    </row>
    <row r="2" spans="1:14" ht="24" customHeight="1">
      <c r="A2" s="1"/>
      <c r="B2" s="2"/>
      <c r="C2" s="2"/>
      <c r="D2" s="2"/>
      <c r="E2" s="2"/>
      <c r="F2" s="3"/>
      <c r="G2" s="150"/>
      <c r="H2" s="150"/>
      <c r="I2" s="150"/>
      <c r="J2" s="150"/>
      <c r="K2" s="150"/>
      <c r="L2" s="3"/>
      <c r="M2" s="1"/>
    </row>
    <row r="3" spans="1:14" s="1" customFormat="1" ht="24" customHeight="1">
      <c r="B3" s="151"/>
      <c r="C3" s="151"/>
      <c r="D3" s="151"/>
      <c r="E3" s="151"/>
      <c r="F3" s="3"/>
      <c r="G3" s="150"/>
      <c r="H3" s="150"/>
      <c r="I3" s="150"/>
      <c r="J3" s="150"/>
      <c r="K3" s="150"/>
      <c r="L3" s="3"/>
    </row>
    <row r="4" spans="1:14" s="1" customFormat="1" ht="8.1" customHeight="1">
      <c r="B4" s="2"/>
      <c r="C4" s="2"/>
      <c r="D4" s="2"/>
      <c r="E4" s="2"/>
      <c r="F4" s="3"/>
      <c r="G4" s="3"/>
      <c r="H4" s="3"/>
      <c r="I4" s="3"/>
      <c r="J4" s="3"/>
      <c r="K4" s="3"/>
      <c r="L4" s="3"/>
    </row>
    <row r="5" spans="1:14" s="1" customFormat="1" ht="24" customHeight="1">
      <c r="B5" s="152" t="s">
        <v>0</v>
      </c>
      <c r="C5" s="152"/>
      <c r="D5" s="5" t="s">
        <v>1</v>
      </c>
      <c r="G5" s="6" t="s">
        <v>2</v>
      </c>
      <c r="H5" s="153" t="s">
        <v>3</v>
      </c>
      <c r="I5" s="153"/>
      <c r="J5" s="153"/>
      <c r="K5" s="153"/>
      <c r="L5" s="153"/>
    </row>
    <row r="6" spans="1:14" ht="24" customHeight="1">
      <c r="A6" s="1"/>
      <c r="B6" s="154" t="s">
        <v>212</v>
      </c>
      <c r="C6" s="155"/>
      <c r="D6" s="155"/>
      <c r="E6" s="156"/>
      <c r="G6" s="160"/>
      <c r="H6" s="161"/>
      <c r="I6" s="161"/>
      <c r="J6" s="161"/>
      <c r="K6" s="161"/>
      <c r="L6" s="162"/>
      <c r="M6" s="1"/>
    </row>
    <row r="7" spans="1:14" ht="24" customHeight="1">
      <c r="A7" s="1"/>
      <c r="B7" s="157"/>
      <c r="C7" s="158"/>
      <c r="D7" s="158"/>
      <c r="E7" s="159"/>
      <c r="G7" s="163"/>
      <c r="H7" s="164"/>
      <c r="I7" s="164"/>
      <c r="J7" s="164"/>
      <c r="K7" s="164"/>
      <c r="L7" s="165"/>
      <c r="M7" s="1"/>
    </row>
    <row r="8" spans="1:14" ht="24" customHeight="1">
      <c r="A8" s="1"/>
      <c r="B8" s="7" t="s">
        <v>4</v>
      </c>
      <c r="C8" s="169" t="s">
        <v>89</v>
      </c>
      <c r="D8" s="169"/>
      <c r="E8" s="169"/>
      <c r="F8" s="8"/>
      <c r="G8" s="163"/>
      <c r="H8" s="164"/>
      <c r="I8" s="164"/>
      <c r="J8" s="164"/>
      <c r="K8" s="164"/>
      <c r="L8" s="165"/>
      <c r="M8" s="1"/>
    </row>
    <row r="9" spans="1:14" s="11" customFormat="1" ht="48" customHeight="1">
      <c r="A9" s="9"/>
      <c r="B9" s="170" t="s">
        <v>213</v>
      </c>
      <c r="C9" s="171"/>
      <c r="D9" s="171"/>
      <c r="E9" s="172"/>
      <c r="F9" s="10"/>
      <c r="G9" s="163"/>
      <c r="H9" s="164"/>
      <c r="I9" s="164"/>
      <c r="J9" s="164"/>
      <c r="K9" s="164"/>
      <c r="L9" s="165"/>
      <c r="M9" s="9"/>
    </row>
    <row r="10" spans="1:14" s="11" customFormat="1" ht="48" customHeight="1">
      <c r="A10" s="9"/>
      <c r="B10" s="173"/>
      <c r="C10" s="174"/>
      <c r="D10" s="174"/>
      <c r="E10" s="175"/>
      <c r="F10" s="12"/>
      <c r="G10" s="163"/>
      <c r="H10" s="164"/>
      <c r="I10" s="164"/>
      <c r="J10" s="164"/>
      <c r="K10" s="164"/>
      <c r="L10" s="165"/>
      <c r="M10" s="9"/>
    </row>
    <row r="11" spans="1:14" s="11" customFormat="1" ht="24" customHeight="1">
      <c r="A11" s="9"/>
      <c r="B11" s="7" t="s">
        <v>5</v>
      </c>
      <c r="C11" s="176" t="s">
        <v>90</v>
      </c>
      <c r="D11" s="176"/>
      <c r="E11" s="176"/>
      <c r="F11" s="13"/>
      <c r="G11" s="163"/>
      <c r="H11" s="164"/>
      <c r="I11" s="164"/>
      <c r="J11" s="164"/>
      <c r="K11" s="164"/>
      <c r="L11" s="165"/>
      <c r="M11" s="9"/>
    </row>
    <row r="12" spans="1:14" s="11" customFormat="1" ht="48" customHeight="1">
      <c r="A12" s="9"/>
      <c r="B12" s="170" t="s">
        <v>217</v>
      </c>
      <c r="C12" s="171"/>
      <c r="D12" s="171"/>
      <c r="E12" s="172"/>
      <c r="F12" s="12"/>
      <c r="G12" s="163"/>
      <c r="H12" s="164"/>
      <c r="I12" s="164"/>
      <c r="J12" s="164"/>
      <c r="K12" s="164"/>
      <c r="L12" s="165"/>
      <c r="M12" s="9"/>
    </row>
    <row r="13" spans="1:14" ht="48" customHeight="1">
      <c r="A13" s="1"/>
      <c r="B13" s="173"/>
      <c r="C13" s="174"/>
      <c r="D13" s="174"/>
      <c r="E13" s="175"/>
      <c r="G13" s="166"/>
      <c r="H13" s="167"/>
      <c r="I13" s="167"/>
      <c r="J13" s="167"/>
      <c r="K13" s="167"/>
      <c r="L13" s="168"/>
      <c r="M13" s="10"/>
    </row>
    <row r="14" spans="1:14" ht="8.1" customHeight="1">
      <c r="A14" s="1"/>
      <c r="G14" s="14"/>
      <c r="H14" s="14"/>
      <c r="I14" s="14"/>
      <c r="J14" s="14"/>
      <c r="K14" s="15"/>
      <c r="L14" s="15"/>
      <c r="M14" s="10"/>
    </row>
    <row r="15" spans="1:14" ht="24" customHeight="1">
      <c r="A15" s="1"/>
      <c r="B15" s="179" t="s">
        <v>6</v>
      </c>
      <c r="C15" s="180"/>
      <c r="D15" s="181" t="s">
        <v>192</v>
      </c>
      <c r="E15" s="182"/>
      <c r="F15" s="15"/>
      <c r="G15" s="187"/>
      <c r="H15" s="188"/>
      <c r="I15" s="188"/>
      <c r="J15" s="15"/>
      <c r="K15" s="16"/>
      <c r="L15" s="16"/>
      <c r="M15" s="10"/>
      <c r="N15" s="17"/>
    </row>
    <row r="16" spans="1:14" ht="8.1" customHeight="1">
      <c r="A16" s="1"/>
      <c r="B16" s="18"/>
      <c r="C16" s="18"/>
      <c r="D16" s="19"/>
      <c r="E16" s="19"/>
      <c r="F16" s="15"/>
      <c r="G16" s="15"/>
      <c r="H16" s="15"/>
      <c r="I16" s="15"/>
      <c r="J16" s="15"/>
      <c r="K16" s="16"/>
      <c r="L16" s="16"/>
      <c r="M16" s="10"/>
      <c r="N16" s="17"/>
    </row>
    <row r="17" spans="1:14" ht="24" customHeight="1">
      <c r="A17" s="1"/>
      <c r="B17" s="179" t="s">
        <v>7</v>
      </c>
      <c r="C17" s="180"/>
      <c r="D17" s="181"/>
      <c r="E17" s="183"/>
      <c r="F17" s="183"/>
      <c r="G17" s="183"/>
      <c r="H17" s="183"/>
      <c r="I17" s="183"/>
      <c r="J17" s="183"/>
      <c r="K17" s="183"/>
      <c r="L17" s="182"/>
      <c r="M17" s="1"/>
      <c r="N17" s="10"/>
    </row>
    <row r="18" spans="1:14" ht="24" customHeight="1">
      <c r="A18" s="1"/>
      <c r="B18" s="18"/>
      <c r="C18" s="18"/>
      <c r="D18" s="20"/>
      <c r="E18" s="14"/>
      <c r="F18" s="14"/>
      <c r="G18" s="14"/>
      <c r="H18" s="14"/>
      <c r="I18" s="14"/>
      <c r="J18" s="14"/>
      <c r="K18" s="21"/>
      <c r="L18" s="21"/>
      <c r="M18" s="1"/>
    </row>
    <row r="19" spans="1:14" ht="24" customHeight="1">
      <c r="A19" s="1"/>
      <c r="B19" s="18"/>
      <c r="C19" s="18"/>
      <c r="D19" s="20"/>
      <c r="E19" s="14"/>
      <c r="F19" s="14"/>
      <c r="G19" s="14"/>
      <c r="H19" s="185" t="s">
        <v>87</v>
      </c>
      <c r="I19" s="185" t="s">
        <v>88</v>
      </c>
      <c r="J19" s="107"/>
      <c r="K19" s="21"/>
      <c r="L19" s="21"/>
      <c r="M19" s="1"/>
    </row>
    <row r="20" spans="1:14" ht="24" customHeight="1" thickBot="1">
      <c r="A20" s="1"/>
      <c r="B20" s="184" t="s">
        <v>8</v>
      </c>
      <c r="C20" s="184"/>
      <c r="D20" s="22" t="s">
        <v>9</v>
      </c>
      <c r="E20" s="22" t="s">
        <v>10</v>
      </c>
      <c r="F20" s="23"/>
      <c r="G20" s="24"/>
      <c r="H20" s="186"/>
      <c r="I20" s="186"/>
      <c r="J20" s="25" t="s">
        <v>11</v>
      </c>
      <c r="K20" s="26"/>
      <c r="M20" s="1"/>
    </row>
    <row r="21" spans="1:14" ht="24" customHeight="1" thickTop="1" thickBot="1">
      <c r="A21" s="1"/>
      <c r="C21" s="27" t="s">
        <v>12</v>
      </c>
      <c r="D21" s="28" t="s">
        <v>206</v>
      </c>
      <c r="E21" s="29" t="s">
        <v>207</v>
      </c>
      <c r="F21" s="14"/>
      <c r="G21" s="24"/>
      <c r="H21" s="116" t="str">
        <f>'ELEVE A'!T23</f>
        <v>OUI</v>
      </c>
      <c r="I21" s="117" t="str">
        <f>'ELEVE A'!T25</f>
        <v>OUI</v>
      </c>
      <c r="J21" s="114"/>
      <c r="K21" s="115"/>
      <c r="M21" s="1"/>
    </row>
    <row r="22" spans="1:14" ht="24" customHeight="1" thickTop="1" thickBot="1">
      <c r="A22" s="1"/>
      <c r="B22" s="16"/>
      <c r="C22" s="27" t="s">
        <v>13</v>
      </c>
      <c r="D22" s="32" t="s">
        <v>208</v>
      </c>
      <c r="E22" s="33" t="s">
        <v>209</v>
      </c>
      <c r="F22" s="14"/>
      <c r="G22" s="24"/>
      <c r="H22" s="116" t="str">
        <f>'ELEVE B'!T23</f>
        <v>OUI</v>
      </c>
      <c r="I22" s="117" t="str">
        <f>'ELEVE B'!T25</f>
        <v>OUI</v>
      </c>
      <c r="J22" s="114"/>
      <c r="K22" s="115"/>
      <c r="L22" s="34" t="s">
        <v>14</v>
      </c>
      <c r="M22" s="1"/>
    </row>
    <row r="23" spans="1:14" ht="24" customHeight="1" thickTop="1" thickBot="1">
      <c r="A23" s="1"/>
      <c r="B23" s="35"/>
      <c r="C23" s="27" t="s">
        <v>15</v>
      </c>
      <c r="D23" s="36" t="s">
        <v>210</v>
      </c>
      <c r="E23" s="37" t="s">
        <v>211</v>
      </c>
      <c r="F23" s="14"/>
      <c r="G23" s="24"/>
      <c r="H23" s="116" t="str">
        <f>'ELEVE C'!T23</f>
        <v>OUI</v>
      </c>
      <c r="I23" s="117" t="str">
        <f>'ELEVE C'!T25</f>
        <v>OUI</v>
      </c>
      <c r="J23" s="114"/>
      <c r="K23" s="115"/>
      <c r="L23" s="177" t="s">
        <v>49</v>
      </c>
      <c r="M23" s="1"/>
    </row>
    <row r="24" spans="1:14" ht="24" customHeight="1" thickTop="1" thickBot="1">
      <c r="A24" s="1"/>
      <c r="B24" s="35"/>
      <c r="C24" s="27"/>
      <c r="D24" s="38"/>
      <c r="E24" s="39"/>
      <c r="F24" s="14"/>
      <c r="G24" s="24"/>
      <c r="H24" s="106"/>
      <c r="I24" s="106"/>
      <c r="J24" s="30" t="e">
        <f>#REF!</f>
        <v>#REF!</v>
      </c>
      <c r="K24" s="31"/>
      <c r="L24" s="177"/>
      <c r="M24" s="1"/>
    </row>
    <row r="25" spans="1:14" ht="24" customHeight="1" thickTop="1" thickBot="1">
      <c r="A25" s="1"/>
      <c r="B25" s="35"/>
      <c r="C25" s="27"/>
      <c r="D25" s="38"/>
      <c r="E25" s="39"/>
      <c r="F25" s="14"/>
      <c r="G25" s="24"/>
      <c r="H25" s="106"/>
      <c r="I25" s="106"/>
      <c r="J25" s="30" t="e">
        <f>#REF!</f>
        <v>#REF!</v>
      </c>
      <c r="K25" s="40"/>
      <c r="L25" s="41" t="str">
        <f>'Déclinaison projet'!J37</f>
        <v>NON</v>
      </c>
      <c r="M25" s="1"/>
    </row>
    <row r="26" spans="1:14" ht="24" customHeight="1" thickTop="1">
      <c r="A26" s="1"/>
      <c r="B26" s="152"/>
      <c r="C26" s="152"/>
      <c r="D26" s="42"/>
      <c r="E26" s="178"/>
      <c r="F26" s="178"/>
      <c r="G26" s="178"/>
      <c r="H26" s="43"/>
      <c r="I26" s="43"/>
      <c r="J26" s="43"/>
      <c r="K26" s="1"/>
      <c r="L26" s="1"/>
      <c r="M26" s="1"/>
    </row>
    <row r="27" spans="1:14" s="44" customFormat="1" ht="20.100000000000001" customHeight="1">
      <c r="H27" s="108"/>
      <c r="I27" s="109"/>
      <c r="J27" s="110"/>
      <c r="K27" s="110"/>
      <c r="L27" s="110"/>
      <c r="M27" s="45"/>
    </row>
    <row r="28" spans="1:14" s="44" customFormat="1" ht="23.1" customHeight="1" thickBot="1">
      <c r="H28" s="108"/>
      <c r="I28" s="111"/>
      <c r="J28" s="112"/>
      <c r="K28" s="112"/>
      <c r="L28" s="112"/>
      <c r="M28" s="46"/>
    </row>
    <row r="29" spans="1:14" s="44" customFormat="1" ht="23.1" customHeight="1" thickTop="1">
      <c r="H29" s="113"/>
      <c r="I29" s="113"/>
      <c r="J29" s="113"/>
      <c r="K29" s="113"/>
      <c r="L29" s="113"/>
      <c r="M29" s="46"/>
    </row>
    <row r="30" spans="1:14" s="44" customFormat="1" ht="15"/>
  </sheetData>
  <sheetProtection selectLockedCells="1"/>
  <mergeCells count="21">
    <mergeCell ref="L23:L24"/>
    <mergeCell ref="B26:C26"/>
    <mergeCell ref="E26:G26"/>
    <mergeCell ref="B15:C15"/>
    <mergeCell ref="D15:E15"/>
    <mergeCell ref="B17:C17"/>
    <mergeCell ref="D17:L17"/>
    <mergeCell ref="B20:C20"/>
    <mergeCell ref="H19:H20"/>
    <mergeCell ref="I19:I20"/>
    <mergeCell ref="G15:I15"/>
    <mergeCell ref="G1:K3"/>
    <mergeCell ref="B3:E3"/>
    <mergeCell ref="B5:C5"/>
    <mergeCell ref="H5:L5"/>
    <mergeCell ref="B6:E7"/>
    <mergeCell ref="G6:L13"/>
    <mergeCell ref="C8:E8"/>
    <mergeCell ref="B9:E10"/>
    <mergeCell ref="C11:E11"/>
    <mergeCell ref="B12:E13"/>
  </mergeCells>
  <conditionalFormatting sqref="H21:J25">
    <cfRule type="cellIs" dxfId="61" priority="6" operator="between">
      <formula>0.75</formula>
      <formula>1</formula>
    </cfRule>
    <cfRule type="cellIs" dxfId="60" priority="7" operator="between">
      <formula>0.5</formula>
      <formula>0.75</formula>
    </cfRule>
  </conditionalFormatting>
  <conditionalFormatting sqref="K21:K25">
    <cfRule type="cellIs" dxfId="59" priority="4" operator="between">
      <formula>65</formula>
      <formula>75</formula>
    </cfRule>
    <cfRule type="cellIs" dxfId="58" priority="5" operator="between">
      <formula>50</formula>
      <formula>90</formula>
    </cfRule>
  </conditionalFormatting>
  <conditionalFormatting sqref="H21:K25">
    <cfRule type="containsText" dxfId="57" priority="3" operator="containsText" text="X">
      <formula>NOT(ISERROR(SEARCH("X",H21)))</formula>
    </cfRule>
  </conditionalFormatting>
  <conditionalFormatting sqref="H21:I23">
    <cfRule type="cellIs" dxfId="56" priority="1" operator="equal">
      <formula>"NON"</formula>
    </cfRule>
    <cfRule type="cellIs" dxfId="55" priority="2" operator="equal">
      <formula>"OUI"</formula>
    </cfRule>
  </conditionalFormatting>
  <printOptions horizontalCentered="1" verticalCentered="1"/>
  <pageMargins left="0.71" right="0.71" top="0.75000000000000011" bottom="0.75000000000000011" header="0.31" footer="0.31"/>
  <pageSetup paperSize="9" scale="65"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6</xdr:col>
                    <xdr:colOff>57150</xdr:colOff>
                    <xdr:row>1</xdr:row>
                    <xdr:rowOff>142875</xdr:rowOff>
                  </from>
                  <to>
                    <xdr:col>8</xdr:col>
                    <xdr:colOff>695325</xdr:colOff>
                    <xdr:row>2</xdr:row>
                    <xdr:rowOff>104775</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6</xdr:col>
                    <xdr:colOff>57150</xdr:colOff>
                    <xdr:row>0</xdr:row>
                    <xdr:rowOff>142875</xdr:rowOff>
                  </from>
                  <to>
                    <xdr:col>8</xdr:col>
                    <xdr:colOff>695325</xdr:colOff>
                    <xdr:row>1</xdr:row>
                    <xdr:rowOff>104775</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4</xdr:col>
                    <xdr:colOff>38100</xdr:colOff>
                    <xdr:row>4</xdr:row>
                    <xdr:rowOff>9525</xdr:rowOff>
                  </from>
                  <to>
                    <xdr:col>5</xdr:col>
                    <xdr:colOff>0</xdr:colOff>
                    <xdr:row>4</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5" tint="0.39997558519241921"/>
  </sheetPr>
  <dimension ref="A1:G42"/>
  <sheetViews>
    <sheetView workbookViewId="0">
      <selection activeCell="E3" sqref="E3"/>
    </sheetView>
  </sheetViews>
  <sheetFormatPr baseColWidth="10" defaultColWidth="10.85546875" defaultRowHeight="14.25"/>
  <cols>
    <col min="1" max="1" width="10.85546875" style="4" customWidth="1"/>
    <col min="2" max="2" width="70.42578125" style="57" customWidth="1"/>
    <col min="3" max="6" width="15.85546875" style="4" customWidth="1"/>
    <col min="7" max="7" width="10.85546875" style="58"/>
    <col min="8" max="16384" width="10.85546875" style="4"/>
  </cols>
  <sheetData>
    <row r="1" spans="1:7" s="47" customFormat="1" ht="24" customHeight="1">
      <c r="B1" s="48"/>
      <c r="G1" s="49"/>
    </row>
    <row r="2" spans="1:7" s="51" customFormat="1" ht="24" customHeight="1">
      <c r="A2" s="50"/>
      <c r="C2" s="52"/>
      <c r="D2" s="52"/>
      <c r="E2" s="52"/>
      <c r="G2" s="53"/>
    </row>
    <row r="3" spans="1:7" s="51" customFormat="1" ht="24" customHeight="1">
      <c r="A3" s="50"/>
      <c r="C3" s="52"/>
      <c r="D3" s="52"/>
      <c r="E3" s="52"/>
      <c r="G3" s="53"/>
    </row>
    <row r="4" spans="1:7" s="54" customFormat="1" ht="24" customHeight="1">
      <c r="B4" s="145" t="s">
        <v>193</v>
      </c>
      <c r="C4" s="55"/>
      <c r="D4" s="55"/>
      <c r="E4" s="55"/>
      <c r="G4" s="56"/>
    </row>
    <row r="5" spans="1:7" s="54" customFormat="1" ht="39.950000000000003" customHeight="1">
      <c r="A5" s="191"/>
      <c r="B5" s="191"/>
      <c r="C5" s="55"/>
      <c r="D5" s="55"/>
      <c r="E5" s="55"/>
      <c r="G5" s="56"/>
    </row>
    <row r="6" spans="1:7" s="54" customFormat="1" ht="39.950000000000003" customHeight="1">
      <c r="A6" s="144"/>
      <c r="B6" s="144"/>
      <c r="C6" s="55"/>
      <c r="D6" s="55"/>
      <c r="E6" s="55"/>
      <c r="G6" s="56"/>
    </row>
    <row r="7" spans="1:7" s="54" customFormat="1" ht="39.950000000000003" customHeight="1">
      <c r="A7" s="144"/>
      <c r="B7" s="144"/>
      <c r="C7" s="55"/>
      <c r="D7" s="55"/>
      <c r="E7" s="55"/>
      <c r="G7" s="56"/>
    </row>
    <row r="8" spans="1:7" s="54" customFormat="1" ht="39.950000000000003" customHeight="1">
      <c r="A8" s="144"/>
      <c r="B8" s="144"/>
      <c r="C8" s="55"/>
      <c r="D8" s="55"/>
      <c r="E8" s="55"/>
      <c r="G8" s="56"/>
    </row>
    <row r="9" spans="1:7" s="54" customFormat="1" ht="39.950000000000003" customHeight="1">
      <c r="A9" s="190"/>
      <c r="B9" s="190"/>
      <c r="C9" s="55"/>
      <c r="D9" s="55"/>
      <c r="E9" s="55"/>
      <c r="G9" s="56"/>
    </row>
    <row r="10" spans="1:7" s="54" customFormat="1" ht="39.950000000000003" customHeight="1">
      <c r="A10" s="190"/>
      <c r="B10" s="190"/>
      <c r="C10" s="55"/>
      <c r="D10" s="55"/>
      <c r="E10" s="55"/>
      <c r="G10" s="56"/>
    </row>
    <row r="11" spans="1:7" s="54" customFormat="1" ht="39.950000000000003" customHeight="1">
      <c r="A11" s="190"/>
      <c r="B11" s="190"/>
      <c r="C11" s="55"/>
      <c r="D11" s="55"/>
      <c r="E11" s="55"/>
      <c r="G11" s="56"/>
    </row>
    <row r="12" spans="1:7" s="54" customFormat="1" ht="39.950000000000003" customHeight="1">
      <c r="A12" s="190"/>
      <c r="B12" s="190"/>
      <c r="C12" s="55"/>
      <c r="D12" s="55"/>
      <c r="E12" s="55"/>
      <c r="G12" s="56"/>
    </row>
    <row r="13" spans="1:7" s="54" customFormat="1" ht="39.950000000000003" customHeight="1">
      <c r="A13" s="189"/>
      <c r="B13" s="189"/>
      <c r="C13" s="55"/>
      <c r="D13" s="55"/>
      <c r="E13" s="55"/>
      <c r="G13" s="56"/>
    </row>
    <row r="14" spans="1:7" s="54" customFormat="1" ht="39.950000000000003" customHeight="1">
      <c r="A14" s="190"/>
      <c r="B14" s="190"/>
      <c r="C14" s="55"/>
      <c r="D14" s="55"/>
      <c r="E14" s="55"/>
      <c r="G14" s="56"/>
    </row>
    <row r="15" spans="1:7" ht="24" customHeight="1"/>
    <row r="16" spans="1:7" s="119" customFormat="1" ht="24" customHeight="1">
      <c r="A16" s="118"/>
      <c r="G16" s="120"/>
    </row>
    <row r="17" ht="24" customHeight="1"/>
    <row r="18" ht="24" customHeight="1"/>
    <row r="19" ht="24" customHeight="1"/>
    <row r="20" ht="24" customHeight="1"/>
    <row r="21" ht="24" customHeight="1"/>
    <row r="22" ht="24" customHeight="1"/>
    <row r="23" ht="24" customHeight="1"/>
    <row r="24" ht="24" customHeight="1"/>
    <row r="25" ht="24" customHeight="1"/>
    <row r="26" ht="24" customHeight="1"/>
    <row r="27" ht="24" customHeight="1"/>
    <row r="28" ht="24" customHeight="1"/>
    <row r="29" ht="24" customHeight="1"/>
    <row r="30" ht="24" customHeight="1"/>
    <row r="31" ht="24" customHeight="1"/>
    <row r="32" ht="24" customHeight="1"/>
    <row r="33" ht="24" customHeight="1"/>
    <row r="34" ht="24" customHeight="1"/>
    <row r="35" ht="24" customHeight="1"/>
    <row r="36" ht="24" customHeight="1"/>
    <row r="37" ht="24" customHeight="1"/>
    <row r="38" ht="24" customHeight="1"/>
    <row r="39" ht="24" customHeight="1"/>
    <row r="40" ht="24" customHeight="1"/>
    <row r="41" ht="24" customHeight="1"/>
    <row r="42" ht="24" customHeight="1"/>
  </sheetData>
  <mergeCells count="7">
    <mergeCell ref="A13:B13"/>
    <mergeCell ref="A14:B14"/>
    <mergeCell ref="A11:B11"/>
    <mergeCell ref="A5:B5"/>
    <mergeCell ref="A10:B10"/>
    <mergeCell ref="A12:B12"/>
    <mergeCell ref="A9:B9"/>
  </mergeCells>
  <pageMargins left="0.75" right="0.75" top="1" bottom="1" header="0.5" footer="0.5"/>
  <pageSetup paperSize="9"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5" tint="0.39997558519241921"/>
  </sheetPr>
  <dimension ref="A1:U37"/>
  <sheetViews>
    <sheetView tabSelected="1" workbookViewId="0">
      <selection activeCell="S11" sqref="S11:S30"/>
    </sheetView>
  </sheetViews>
  <sheetFormatPr baseColWidth="10" defaultRowHeight="15"/>
  <cols>
    <col min="1" max="1" width="4.42578125" customWidth="1"/>
    <col min="2" max="2" width="57.42578125" customWidth="1"/>
    <col min="8" max="8" width="33.5703125" customWidth="1"/>
    <col min="10" max="11" width="0" hidden="1" customWidth="1"/>
    <col min="12" max="12" width="19.28515625" hidden="1" customWidth="1"/>
    <col min="13" max="13" width="19.5703125" hidden="1" customWidth="1"/>
    <col min="14" max="14" width="21.28515625" hidden="1" customWidth="1"/>
    <col min="15" max="21" width="0" hidden="1" customWidth="1"/>
  </cols>
  <sheetData>
    <row r="1" spans="1:21" ht="30" customHeight="1">
      <c r="A1" s="1"/>
      <c r="B1" s="61"/>
      <c r="C1" s="59"/>
      <c r="D1" s="59"/>
      <c r="E1" s="59"/>
      <c r="F1" s="60"/>
      <c r="G1" s="59"/>
      <c r="H1" s="1"/>
      <c r="I1" s="1"/>
      <c r="J1" s="1"/>
      <c r="K1" s="1"/>
      <c r="L1" s="1"/>
    </row>
    <row r="2" spans="1:21" ht="29.25" customHeight="1">
      <c r="A2" s="1"/>
      <c r="B2" s="61"/>
      <c r="C2" s="59"/>
      <c r="D2" s="59"/>
      <c r="E2" s="1"/>
      <c r="F2" s="60"/>
      <c r="G2" s="59"/>
      <c r="H2" s="1"/>
      <c r="I2" s="1"/>
      <c r="J2" s="1"/>
      <c r="K2" s="1"/>
      <c r="L2" s="1"/>
    </row>
    <row r="3" spans="1:21" ht="30.75" customHeight="1">
      <c r="A3" s="1"/>
      <c r="B3" s="61"/>
      <c r="C3" s="59"/>
      <c r="D3" s="59"/>
      <c r="E3" s="1"/>
      <c r="F3" s="60"/>
      <c r="G3" s="59"/>
      <c r="H3" s="1"/>
      <c r="I3" s="1"/>
      <c r="J3" s="1"/>
      <c r="K3" s="1"/>
      <c r="L3" s="1"/>
    </row>
    <row r="4" spans="1:21" ht="29.25" customHeight="1">
      <c r="A4" s="1"/>
      <c r="B4" s="61"/>
      <c r="C4" s="59"/>
      <c r="D4" s="59"/>
      <c r="E4" s="1"/>
      <c r="F4" s="60"/>
      <c r="G4" s="59"/>
      <c r="H4" s="1"/>
      <c r="I4" s="1"/>
      <c r="J4" s="1"/>
      <c r="K4" s="1"/>
      <c r="L4" s="1"/>
    </row>
    <row r="5" spans="1:21" ht="32.25" customHeight="1">
      <c r="A5" s="1"/>
      <c r="B5" s="62"/>
      <c r="C5" s="1"/>
      <c r="D5" s="63"/>
      <c r="E5" s="64"/>
      <c r="F5" s="60"/>
      <c r="G5" s="59"/>
      <c r="H5" s="1"/>
      <c r="I5" s="1"/>
      <c r="J5" s="1"/>
      <c r="K5" s="1"/>
      <c r="L5" s="1"/>
    </row>
    <row r="6" spans="1:21" ht="33" customHeight="1" thickBot="1">
      <c r="A6" s="1"/>
      <c r="B6" s="62"/>
      <c r="C6" s="65" t="s">
        <v>16</v>
      </c>
      <c r="D6" s="65" t="s">
        <v>17</v>
      </c>
      <c r="E6" s="66" t="s">
        <v>18</v>
      </c>
      <c r="F6" s="60"/>
      <c r="G6" s="59"/>
      <c r="H6" s="1"/>
      <c r="I6" s="1"/>
      <c r="J6" s="1"/>
      <c r="K6" s="1"/>
      <c r="L6" s="1"/>
    </row>
    <row r="7" spans="1:21" ht="18.75" thickBot="1">
      <c r="A7" s="1"/>
      <c r="B7" s="61"/>
      <c r="C7" s="67" t="str">
        <f>Synthèse!D21</f>
        <v>Nom1</v>
      </c>
      <c r="D7" s="67" t="str">
        <f>Synthèse!D22</f>
        <v>Nom2</v>
      </c>
      <c r="E7" s="67" t="str">
        <f>Synthèse!D23</f>
        <v>Nom3</v>
      </c>
      <c r="F7" s="68"/>
      <c r="G7" s="1"/>
      <c r="H7" s="1"/>
      <c r="I7" s="1"/>
      <c r="J7" s="1"/>
      <c r="K7" s="1"/>
      <c r="L7" s="1"/>
    </row>
    <row r="8" spans="1:21" ht="26.25" hidden="1">
      <c r="A8" s="1"/>
      <c r="B8" s="61"/>
      <c r="C8" s="69" t="e">
        <f>IF([1]parametres!F2&gt;1,SUM(#REF!),"X")</f>
        <v>#REF!</v>
      </c>
      <c r="D8" s="69" t="e">
        <f>IF([1]parametres!F3&gt;1,SUM(#REF!),"X")</f>
        <v>#REF!</v>
      </c>
      <c r="E8" s="69" t="e">
        <f>IF([1]parametres!F4&gt;1,SUM(#REF!),"X")</f>
        <v>#REF!</v>
      </c>
      <c r="F8" s="70"/>
      <c r="G8" s="70"/>
      <c r="H8" s="1"/>
      <c r="I8" s="1"/>
      <c r="J8" s="1"/>
      <c r="K8" s="1"/>
      <c r="L8" s="1"/>
    </row>
    <row r="9" spans="1:21" ht="36" customHeight="1">
      <c r="A9" s="197" t="s">
        <v>19</v>
      </c>
      <c r="B9" s="198"/>
      <c r="C9" s="198"/>
      <c r="D9" s="198"/>
      <c r="E9" s="198"/>
      <c r="F9" s="71"/>
      <c r="G9" s="192" t="s">
        <v>54</v>
      </c>
      <c r="H9" s="193"/>
      <c r="I9" s="9"/>
      <c r="J9" s="9"/>
      <c r="K9" s="9"/>
      <c r="L9" s="9"/>
    </row>
    <row r="10" spans="1:21" ht="18">
      <c r="A10" s="194" t="s">
        <v>20</v>
      </c>
      <c r="B10" s="195"/>
      <c r="C10" s="195"/>
      <c r="D10" s="195"/>
      <c r="E10" s="196"/>
      <c r="F10" s="73"/>
      <c r="G10" s="74"/>
      <c r="H10" s="75" t="s">
        <v>21</v>
      </c>
      <c r="I10" s="72"/>
      <c r="J10" s="72"/>
      <c r="K10" s="72"/>
      <c r="L10" t="s">
        <v>51</v>
      </c>
      <c r="M10" t="s">
        <v>52</v>
      </c>
      <c r="N10" t="s">
        <v>53</v>
      </c>
      <c r="Q10" t="s">
        <v>51</v>
      </c>
    </row>
    <row r="11" spans="1:21" ht="18">
      <c r="A11" s="93">
        <v>1</v>
      </c>
      <c r="B11" s="94" t="s">
        <v>204</v>
      </c>
      <c r="C11" s="95" t="s">
        <v>194</v>
      </c>
      <c r="D11" s="95" t="s">
        <v>194</v>
      </c>
      <c r="E11" s="95" t="s">
        <v>194</v>
      </c>
      <c r="F11" s="76"/>
      <c r="G11" s="77"/>
      <c r="H11" s="78"/>
      <c r="I11" s="72"/>
      <c r="J11" s="72">
        <f>IF(G11="",0,1)</f>
        <v>0</v>
      </c>
      <c r="K11" s="72"/>
      <c r="L11" t="str">
        <f t="shared" ref="L11:N16" si="0">IF(C11="x",$B11,"*")</f>
        <v>Esquisse sur papier de la présentation du jeu</v>
      </c>
      <c r="M11" t="str">
        <f t="shared" si="0"/>
        <v>Esquisse sur papier de la présentation du jeu</v>
      </c>
      <c r="N11" t="str">
        <f t="shared" si="0"/>
        <v>Esquisse sur papier de la présentation du jeu</v>
      </c>
      <c r="Q11" t="s">
        <v>204</v>
      </c>
      <c r="R11" t="s">
        <v>204</v>
      </c>
      <c r="S11" t="s">
        <v>204</v>
      </c>
      <c r="T11" t="s">
        <v>51</v>
      </c>
      <c r="U11" t="s">
        <v>55</v>
      </c>
    </row>
    <row r="12" spans="1:21" ht="18">
      <c r="A12" s="93">
        <v>2</v>
      </c>
      <c r="B12" s="146" t="s">
        <v>196</v>
      </c>
      <c r="C12" s="95" t="s">
        <v>194</v>
      </c>
      <c r="D12" s="95" t="s">
        <v>194</v>
      </c>
      <c r="E12" s="95" t="s">
        <v>194</v>
      </c>
      <c r="F12" s="76"/>
      <c r="G12" s="77"/>
      <c r="H12" s="78"/>
      <c r="I12" s="72"/>
      <c r="J12" s="72">
        <f t="shared" ref="J12:J25" si="1">IF(G12="",0,1)</f>
        <v>0</v>
      </c>
      <c r="K12" s="72"/>
      <c r="L12" t="str">
        <f t="shared" si="0"/>
        <v>Réalisation de la page HTML de présentation</v>
      </c>
      <c r="M12" t="str">
        <f t="shared" si="0"/>
        <v>Réalisation de la page HTML de présentation</v>
      </c>
      <c r="N12" t="str">
        <f t="shared" si="0"/>
        <v>Réalisation de la page HTML de présentation</v>
      </c>
      <c r="Q12" t="s">
        <v>196</v>
      </c>
      <c r="R12" t="s">
        <v>196</v>
      </c>
      <c r="S12" t="s">
        <v>196</v>
      </c>
    </row>
    <row r="13" spans="1:21" ht="18">
      <c r="A13" s="93">
        <v>3</v>
      </c>
      <c r="B13" s="146" t="s">
        <v>197</v>
      </c>
      <c r="C13" s="95" t="s">
        <v>194</v>
      </c>
      <c r="D13" s="95" t="s">
        <v>194</v>
      </c>
      <c r="E13" s="95" t="s">
        <v>194</v>
      </c>
      <c r="F13" s="76"/>
      <c r="G13" s="77"/>
      <c r="H13" s="78"/>
      <c r="I13" s="72"/>
      <c r="J13" s="72">
        <f t="shared" si="1"/>
        <v>0</v>
      </c>
      <c r="K13" s="72"/>
      <c r="L13" t="str">
        <f t="shared" si="0"/>
        <v>Elaboration de la feuille de style Css</v>
      </c>
      <c r="M13" t="str">
        <f t="shared" si="0"/>
        <v>Elaboration de la feuille de style Css</v>
      </c>
      <c r="N13" t="str">
        <f t="shared" si="0"/>
        <v>Elaboration de la feuille de style Css</v>
      </c>
      <c r="Q13" t="s">
        <v>197</v>
      </c>
      <c r="R13" t="s">
        <v>197</v>
      </c>
      <c r="S13" t="s">
        <v>197</v>
      </c>
    </row>
    <row r="14" spans="1:21" ht="18">
      <c r="A14" s="93">
        <v>4</v>
      </c>
      <c r="B14" s="146" t="s">
        <v>198</v>
      </c>
      <c r="C14" s="95" t="s">
        <v>194</v>
      </c>
      <c r="D14" s="95"/>
      <c r="E14" s="95"/>
      <c r="G14" s="77"/>
      <c r="H14" s="78"/>
      <c r="J14" s="72">
        <f t="shared" si="1"/>
        <v>0</v>
      </c>
      <c r="L14" t="str">
        <f t="shared" si="0"/>
        <v>Construction du  clavier virtuel</v>
      </c>
      <c r="M14" t="str">
        <f t="shared" si="0"/>
        <v>*</v>
      </c>
      <c r="N14" t="str">
        <f t="shared" si="0"/>
        <v>*</v>
      </c>
      <c r="Q14" t="s">
        <v>198</v>
      </c>
      <c r="R14" t="s">
        <v>55</v>
      </c>
      <c r="S14" t="s">
        <v>55</v>
      </c>
    </row>
    <row r="15" spans="1:21" ht="18">
      <c r="A15" s="93">
        <v>5</v>
      </c>
      <c r="B15" s="146" t="s">
        <v>199</v>
      </c>
      <c r="C15" s="95"/>
      <c r="D15" s="95" t="s">
        <v>194</v>
      </c>
      <c r="E15" s="95"/>
      <c r="G15" s="77"/>
      <c r="H15" s="78"/>
      <c r="J15" s="72">
        <f t="shared" si="1"/>
        <v>0</v>
      </c>
      <c r="L15" t="str">
        <f t="shared" si="0"/>
        <v>*</v>
      </c>
      <c r="M15" t="str">
        <f t="shared" si="0"/>
        <v>Création de l'environnement graphique</v>
      </c>
      <c r="N15" t="str">
        <f t="shared" si="0"/>
        <v>*</v>
      </c>
      <c r="Q15" t="s">
        <v>55</v>
      </c>
      <c r="R15" t="s">
        <v>199</v>
      </c>
      <c r="S15" t="s">
        <v>55</v>
      </c>
    </row>
    <row r="16" spans="1:21" ht="18">
      <c r="A16" s="93">
        <v>6</v>
      </c>
      <c r="B16" s="146" t="s">
        <v>215</v>
      </c>
      <c r="C16" s="95"/>
      <c r="D16" s="95"/>
      <c r="E16" s="95" t="s">
        <v>194</v>
      </c>
      <c r="G16" s="77"/>
      <c r="H16" s="78"/>
      <c r="J16" s="72"/>
      <c r="L16" t="str">
        <f t="shared" si="0"/>
        <v>*</v>
      </c>
      <c r="M16" t="str">
        <f t="shared" si="0"/>
        <v>*</v>
      </c>
      <c r="N16" t="str">
        <f t="shared" si="0"/>
        <v>Selection du niveau de jeu et du thème</v>
      </c>
      <c r="Q16" t="s">
        <v>55</v>
      </c>
      <c r="R16" t="s">
        <v>55</v>
      </c>
      <c r="S16" t="s">
        <v>215</v>
      </c>
    </row>
    <row r="17" spans="1:19" ht="18">
      <c r="A17" s="93">
        <v>7</v>
      </c>
      <c r="B17" s="146" t="s">
        <v>216</v>
      </c>
      <c r="C17" s="95"/>
      <c r="D17" s="95" t="s">
        <v>194</v>
      </c>
      <c r="E17" s="95"/>
      <c r="G17" s="77"/>
      <c r="H17" s="78"/>
      <c r="J17" s="72"/>
      <c r="L17" t="e">
        <f>IF(#REF!="x",#REF!,"*")</f>
        <v>#REF!</v>
      </c>
      <c r="M17" t="e">
        <f>IF(#REF!="x",#REF!,"*")</f>
        <v>#REF!</v>
      </c>
      <c r="N17" t="str">
        <f>IF(E17="x",#REF!,"*")</f>
        <v>*</v>
      </c>
      <c r="Q17" t="e">
        <v>#REF!</v>
      </c>
      <c r="R17" t="e">
        <v>#REF!</v>
      </c>
      <c r="S17" t="s">
        <v>55</v>
      </c>
    </row>
    <row r="18" spans="1:19" ht="21.75" customHeight="1">
      <c r="A18" s="93">
        <v>8</v>
      </c>
      <c r="B18" s="146" t="s">
        <v>214</v>
      </c>
      <c r="C18" s="95" t="s">
        <v>194</v>
      </c>
      <c r="D18" s="95"/>
      <c r="E18" s="95"/>
      <c r="G18" s="77"/>
      <c r="H18" s="78"/>
      <c r="J18" s="72">
        <f t="shared" si="1"/>
        <v>0</v>
      </c>
      <c r="L18" t="str">
        <f>IF(C17="x",$B17,"*")</f>
        <v>*</v>
      </c>
      <c r="M18" t="str">
        <f>IF(D17="x",$B17,"*")</f>
        <v>Elaboration des listes de mots par thème</v>
      </c>
      <c r="N18" t="e">
        <f>IF(#REF!="x",$B17,"*")</f>
        <v>#REF!</v>
      </c>
      <c r="Q18" t="s">
        <v>55</v>
      </c>
      <c r="R18" t="s">
        <v>216</v>
      </c>
      <c r="S18" t="e">
        <v>#REF!</v>
      </c>
    </row>
    <row r="19" spans="1:19" ht="30">
      <c r="A19" s="93">
        <v>9</v>
      </c>
      <c r="B19" s="146" t="s">
        <v>200</v>
      </c>
      <c r="C19" s="95"/>
      <c r="D19" s="95" t="s">
        <v>194</v>
      </c>
      <c r="E19" s="95"/>
      <c r="G19" s="77"/>
      <c r="H19" s="78"/>
      <c r="J19" s="72">
        <f t="shared" si="1"/>
        <v>0</v>
      </c>
      <c r="L19" t="str">
        <f>IF(C18="x",$B18,"*")</f>
        <v>Tirage d'un mot aléatoire parmi la liste</v>
      </c>
      <c r="M19" t="str">
        <f>IF(D18="x",$B18,"*")</f>
        <v>*</v>
      </c>
      <c r="N19" t="str">
        <f>IF(E18="x",$B18,"*")</f>
        <v>*</v>
      </c>
      <c r="Q19" t="s">
        <v>214</v>
      </c>
      <c r="R19" t="s">
        <v>55</v>
      </c>
      <c r="S19" t="s">
        <v>55</v>
      </c>
    </row>
    <row r="20" spans="1:19" ht="18">
      <c r="A20" s="93">
        <v>10</v>
      </c>
      <c r="B20" s="146" t="s">
        <v>203</v>
      </c>
      <c r="C20" s="95"/>
      <c r="D20" s="95"/>
      <c r="E20" s="95" t="s">
        <v>194</v>
      </c>
      <c r="G20" s="77"/>
      <c r="H20" s="78"/>
      <c r="J20" s="72">
        <f t="shared" si="1"/>
        <v>0</v>
      </c>
      <c r="L20" t="str">
        <f>IF(C19="x",$B19,"*")</f>
        <v>*</v>
      </c>
      <c r="M20" t="str">
        <f>IF(D19="x",$B19,"*")</f>
        <v>Test de la présence du caractère saisi au sein du mot</v>
      </c>
      <c r="N20" t="str">
        <f>IF(E19="x",$B19,"*")</f>
        <v>*</v>
      </c>
      <c r="Q20" t="s">
        <v>55</v>
      </c>
      <c r="R20" t="s">
        <v>200</v>
      </c>
      <c r="S20" t="s">
        <v>55</v>
      </c>
    </row>
    <row r="21" spans="1:19" ht="18">
      <c r="A21" s="93">
        <v>11</v>
      </c>
      <c r="B21" s="146" t="s">
        <v>201</v>
      </c>
      <c r="C21" s="95"/>
      <c r="D21" s="95" t="s">
        <v>194</v>
      </c>
      <c r="E21" s="95"/>
      <c r="G21" s="77"/>
      <c r="H21" s="78"/>
      <c r="J21" s="72">
        <f t="shared" si="1"/>
        <v>0</v>
      </c>
      <c r="L21" t="str">
        <f>IF(C20="x",$B20,"*")</f>
        <v>*</v>
      </c>
      <c r="M21" t="str">
        <f>IF(D20="x",$B20,"*")</f>
        <v>*</v>
      </c>
      <c r="N21" t="str">
        <f>IF(E20="x",$B20,"*")</f>
        <v>Gestion du placement du caractère</v>
      </c>
      <c r="Q21" t="s">
        <v>55</v>
      </c>
      <c r="R21" t="s">
        <v>55</v>
      </c>
      <c r="S21" t="s">
        <v>203</v>
      </c>
    </row>
    <row r="22" spans="1:19" ht="18">
      <c r="A22" s="93">
        <v>12</v>
      </c>
      <c r="B22" s="146" t="s">
        <v>202</v>
      </c>
      <c r="C22" s="95" t="s">
        <v>194</v>
      </c>
      <c r="D22" s="95"/>
      <c r="E22" s="95"/>
      <c r="G22" s="77"/>
      <c r="H22" s="78"/>
      <c r="J22" s="72">
        <f t="shared" si="1"/>
        <v>0</v>
      </c>
      <c r="L22" t="str">
        <f>IF(C21="x",$B21,"*")</f>
        <v>*</v>
      </c>
      <c r="M22" t="str">
        <f>IF(D21="x",$B21,"*")</f>
        <v>Gestion de l'évolution de la figure sanction</v>
      </c>
      <c r="N22" t="str">
        <f>IF(E21="x",$B21,"*")</f>
        <v>*</v>
      </c>
      <c r="Q22" t="s">
        <v>55</v>
      </c>
      <c r="R22" t="s">
        <v>201</v>
      </c>
      <c r="S22" t="s">
        <v>55</v>
      </c>
    </row>
    <row r="23" spans="1:19" ht="18">
      <c r="A23" s="93">
        <v>13</v>
      </c>
      <c r="B23" s="146" t="s">
        <v>195</v>
      </c>
      <c r="C23" s="95" t="s">
        <v>194</v>
      </c>
      <c r="D23" s="95" t="s">
        <v>194</v>
      </c>
      <c r="E23" s="95" t="s">
        <v>194</v>
      </c>
      <c r="G23" s="77"/>
      <c r="H23" s="78"/>
      <c r="J23" s="72">
        <f t="shared" si="1"/>
        <v>0</v>
      </c>
      <c r="L23" t="str">
        <f>IF(C22="x",$B22,"*")</f>
        <v xml:space="preserve">Gestion de la fin du jeu </v>
      </c>
      <c r="M23" t="str">
        <f>IF(D22="x",$B22,"*")</f>
        <v>*</v>
      </c>
      <c r="N23" t="str">
        <f>IF(E22="x",$B22,"*")</f>
        <v>*</v>
      </c>
      <c r="Q23" t="s">
        <v>202</v>
      </c>
      <c r="R23" t="s">
        <v>55</v>
      </c>
      <c r="S23" t="s">
        <v>55</v>
      </c>
    </row>
    <row r="24" spans="1:19" ht="18">
      <c r="A24" s="93">
        <v>14</v>
      </c>
      <c r="B24" s="146" t="s">
        <v>205</v>
      </c>
      <c r="C24" s="95" t="s">
        <v>194</v>
      </c>
      <c r="D24" s="95" t="s">
        <v>194</v>
      </c>
      <c r="E24" s="95" t="s">
        <v>194</v>
      </c>
      <c r="G24" s="77"/>
      <c r="H24" s="78"/>
      <c r="J24" s="72"/>
    </row>
    <row r="25" spans="1:19" ht="18">
      <c r="A25" s="93">
        <v>15</v>
      </c>
      <c r="G25" s="77"/>
      <c r="H25" s="78"/>
      <c r="J25" s="72">
        <f t="shared" si="1"/>
        <v>0</v>
      </c>
      <c r="L25" t="str">
        <f>IF(C24="x",$B24,"*")</f>
        <v>Rédaction du rapport de présentation</v>
      </c>
      <c r="M25" t="str">
        <f>IF(D24="x",$B24,"*")</f>
        <v>Rédaction du rapport de présentation</v>
      </c>
      <c r="N25" t="str">
        <f>IF(E24="x",$B24,"*")</f>
        <v>Rédaction du rapport de présentation</v>
      </c>
      <c r="Q25" t="s">
        <v>205</v>
      </c>
      <c r="R25" t="s">
        <v>205</v>
      </c>
      <c r="S25" t="s">
        <v>205</v>
      </c>
    </row>
    <row r="26" spans="1:19" ht="18">
      <c r="A26" s="88"/>
      <c r="B26" s="89"/>
      <c r="C26" s="90"/>
      <c r="D26" s="90"/>
      <c r="E26" s="90"/>
      <c r="F26" s="91"/>
      <c r="G26" s="92"/>
      <c r="H26" s="87"/>
      <c r="I26" s="91"/>
      <c r="J26" s="72"/>
    </row>
    <row r="27" spans="1:19" ht="18">
      <c r="A27" s="88"/>
      <c r="B27" s="89"/>
      <c r="C27" s="90"/>
      <c r="D27" s="90"/>
      <c r="E27" s="90"/>
      <c r="F27" s="91"/>
      <c r="G27" s="92"/>
      <c r="H27" s="87"/>
      <c r="I27" s="91"/>
      <c r="J27" s="72"/>
    </row>
    <row r="28" spans="1:19" ht="18">
      <c r="A28" s="88"/>
      <c r="B28" s="89"/>
      <c r="C28" s="90"/>
      <c r="D28" s="90"/>
      <c r="E28" s="90"/>
      <c r="F28" s="91"/>
      <c r="G28" s="92"/>
      <c r="H28" s="87"/>
      <c r="I28" s="91"/>
      <c r="J28" s="72"/>
    </row>
    <row r="29" spans="1:19" ht="18">
      <c r="A29" s="88"/>
      <c r="B29" s="89"/>
      <c r="C29" s="90"/>
      <c r="D29" s="90"/>
      <c r="E29" s="90"/>
      <c r="F29" s="91"/>
      <c r="G29" s="92"/>
      <c r="H29" s="87"/>
      <c r="I29" s="91"/>
      <c r="J29" s="72"/>
    </row>
    <row r="30" spans="1:19" ht="18">
      <c r="A30" s="88"/>
      <c r="B30" s="89"/>
      <c r="C30" s="90"/>
      <c r="D30" s="90"/>
      <c r="E30" s="90"/>
      <c r="F30" s="91"/>
      <c r="G30" s="92"/>
      <c r="H30" s="87"/>
      <c r="I30" s="91"/>
      <c r="J30" s="72"/>
    </row>
    <row r="31" spans="1:19" ht="18">
      <c r="A31" s="88"/>
      <c r="B31" s="89"/>
      <c r="C31" s="90"/>
      <c r="D31" s="90"/>
      <c r="E31" s="90"/>
      <c r="F31" s="91"/>
      <c r="G31" s="92"/>
      <c r="H31" s="87"/>
      <c r="I31" s="91"/>
      <c r="J31" s="72"/>
    </row>
    <row r="32" spans="1:19" ht="18">
      <c r="A32" s="88"/>
      <c r="B32" s="89"/>
      <c r="C32" s="90"/>
      <c r="D32" s="90"/>
      <c r="E32" s="90"/>
      <c r="F32" s="91"/>
      <c r="G32" s="92"/>
      <c r="H32" s="87"/>
      <c r="I32" s="91"/>
      <c r="J32" s="72"/>
    </row>
    <row r="33" spans="1:10" ht="18">
      <c r="A33" s="88"/>
      <c r="B33" s="89"/>
      <c r="C33" s="90"/>
      <c r="D33" s="90"/>
      <c r="E33" s="90"/>
      <c r="F33" s="91"/>
      <c r="G33" s="92"/>
      <c r="H33" s="87"/>
      <c r="I33" s="91"/>
      <c r="J33" s="72"/>
    </row>
    <row r="34" spans="1:10" ht="18">
      <c r="A34" s="88"/>
      <c r="B34" s="89"/>
      <c r="C34" s="90"/>
      <c r="D34" s="90"/>
      <c r="E34" s="90"/>
      <c r="F34" s="91"/>
      <c r="G34" s="92"/>
      <c r="H34" s="87"/>
      <c r="I34" s="91"/>
      <c r="J34" s="72"/>
    </row>
    <row r="35" spans="1:10" ht="18">
      <c r="A35" s="88"/>
      <c r="B35" s="89"/>
      <c r="C35" s="90"/>
      <c r="D35" s="90"/>
      <c r="E35" s="90"/>
      <c r="F35" s="91"/>
      <c r="G35" s="92"/>
      <c r="H35" s="87"/>
      <c r="I35" s="91"/>
      <c r="J35" s="72"/>
    </row>
    <row r="37" spans="1:10">
      <c r="J37" s="1" t="str">
        <f>IF(SUM(J11:J35)&gt;0,"OUI","NON")</f>
        <v>NON</v>
      </c>
    </row>
  </sheetData>
  <mergeCells count="3">
    <mergeCell ref="G9:H9"/>
    <mergeCell ref="A10:E10"/>
    <mergeCell ref="A9:E9"/>
  </mergeCells>
  <conditionalFormatting sqref="C8:G8">
    <cfRule type="cellIs" dxfId="54" priority="1" operator="between">
      <formula>65</formula>
      <formula>75</formula>
    </cfRule>
    <cfRule type="cellIs" dxfId="53" priority="2" operator="between">
      <formula>50</formula>
      <formula>90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DL29"/>
  <sheetViews>
    <sheetView zoomScale="90" zoomScaleNormal="90" workbookViewId="0">
      <selection activeCell="F20" sqref="F20"/>
    </sheetView>
  </sheetViews>
  <sheetFormatPr baseColWidth="10" defaultRowHeight="15"/>
  <cols>
    <col min="3" max="3" width="103" customWidth="1"/>
    <col min="4" max="4" width="6.42578125" customWidth="1"/>
    <col min="5" max="5" width="5.140625" customWidth="1"/>
    <col min="6" max="6" width="4.5703125" customWidth="1"/>
    <col min="7" max="18" width="3" bestFit="1" customWidth="1"/>
    <col min="19" max="19" width="3.7109375" customWidth="1"/>
    <col min="20" max="22" width="3" customWidth="1"/>
    <col min="23" max="23" width="4.140625" customWidth="1"/>
    <col min="24" max="24" width="16.140625" bestFit="1" customWidth="1"/>
    <col min="25" max="32" width="11.42578125" customWidth="1"/>
    <col min="33" max="55" width="11.42578125" hidden="1" customWidth="1"/>
    <col min="56" max="169" width="11.42578125" customWidth="1"/>
  </cols>
  <sheetData>
    <row r="1" spans="1:116" ht="33.75" customHeight="1">
      <c r="A1" s="199" t="s">
        <v>50</v>
      </c>
      <c r="B1" s="199"/>
      <c r="C1" s="100" t="str">
        <f>Synthèse!D21</f>
        <v>Nom1</v>
      </c>
    </row>
    <row r="2" spans="1:116" ht="30" customHeight="1">
      <c r="A2" s="200" t="s">
        <v>56</v>
      </c>
      <c r="B2" s="200"/>
      <c r="C2" s="100" t="str">
        <f>Synthèse!E21</f>
        <v>Prénom1</v>
      </c>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row>
    <row r="3" spans="1:116" ht="258" customHeight="1">
      <c r="A3" s="215"/>
      <c r="B3" s="215"/>
      <c r="C3" s="98"/>
      <c r="D3" s="147" t="s">
        <v>204</v>
      </c>
      <c r="E3" s="147" t="s">
        <v>196</v>
      </c>
      <c r="F3" s="147" t="s">
        <v>197</v>
      </c>
      <c r="G3" s="147" t="s">
        <v>198</v>
      </c>
      <c r="H3" s="147" t="s">
        <v>55</v>
      </c>
      <c r="I3" s="147" t="s">
        <v>55</v>
      </c>
      <c r="J3" s="147"/>
      <c r="K3" s="147" t="s">
        <v>55</v>
      </c>
      <c r="L3" s="147" t="s">
        <v>214</v>
      </c>
      <c r="M3" s="147" t="s">
        <v>55</v>
      </c>
      <c r="N3" s="147" t="s">
        <v>55</v>
      </c>
      <c r="O3" s="147" t="s">
        <v>55</v>
      </c>
      <c r="P3" s="147" t="s">
        <v>202</v>
      </c>
      <c r="Q3" s="147"/>
      <c r="R3" s="147" t="s">
        <v>205</v>
      </c>
      <c r="S3" s="147"/>
      <c r="T3" s="147"/>
      <c r="U3" s="147"/>
      <c r="V3" s="147"/>
      <c r="W3" s="147"/>
      <c r="Y3" s="99"/>
      <c r="Z3" s="148"/>
      <c r="AA3" s="148"/>
    </row>
    <row r="4" spans="1:116" ht="15" customHeight="1">
      <c r="A4" s="80" t="s">
        <v>22</v>
      </c>
      <c r="B4" s="216" t="s">
        <v>23</v>
      </c>
      <c r="C4" s="217"/>
      <c r="D4" s="217"/>
      <c r="E4" s="217"/>
      <c r="F4" s="217"/>
      <c r="G4" s="217"/>
      <c r="H4" s="217"/>
      <c r="I4" s="217"/>
      <c r="J4" s="217"/>
      <c r="K4" s="217"/>
      <c r="L4" s="217"/>
      <c r="M4" s="217"/>
      <c r="N4" s="217"/>
      <c r="O4" s="217"/>
      <c r="P4" s="217"/>
      <c r="Q4" s="217"/>
      <c r="R4" s="217"/>
      <c r="S4" s="217"/>
      <c r="T4" s="217"/>
      <c r="U4" s="217"/>
      <c r="V4" s="217"/>
      <c r="W4" s="217"/>
      <c r="X4" s="105"/>
      <c r="Y4" s="85" t="str">
        <f>IF(SUM(BB5:BB6)&gt;0,"oui","Non")</f>
        <v>oui</v>
      </c>
      <c r="BC4">
        <f>IF(Y4="oui",1,0)</f>
        <v>1</v>
      </c>
    </row>
    <row r="5" spans="1:116" ht="24.75" customHeight="1">
      <c r="A5" s="81"/>
      <c r="B5" s="201" t="s">
        <v>24</v>
      </c>
      <c r="C5" s="205"/>
      <c r="D5" s="96"/>
      <c r="E5" s="96"/>
      <c r="F5" s="96"/>
      <c r="G5" s="96"/>
      <c r="H5" s="96"/>
      <c r="I5" s="96"/>
      <c r="J5" s="96"/>
      <c r="K5" s="96"/>
      <c r="L5" s="96"/>
      <c r="M5" s="96"/>
      <c r="N5" s="96"/>
      <c r="O5" s="96"/>
      <c r="P5" s="96"/>
      <c r="Q5" s="96"/>
      <c r="R5" s="96" t="s">
        <v>194</v>
      </c>
      <c r="S5" s="96"/>
      <c r="T5" s="96"/>
      <c r="U5" s="96"/>
      <c r="V5" s="96"/>
      <c r="W5" s="96"/>
      <c r="X5" s="86" t="str">
        <f>IF(BB5=1,"Evaluable","Non-Evalauble")</f>
        <v>Evaluable</v>
      </c>
      <c r="Y5" s="85"/>
      <c r="AG5">
        <f t="shared" ref="AG5:AP6" si="0">IF(D5="",0,1)</f>
        <v>0</v>
      </c>
      <c r="AH5">
        <f t="shared" si="0"/>
        <v>0</v>
      </c>
      <c r="AI5">
        <f t="shared" si="0"/>
        <v>0</v>
      </c>
      <c r="AJ5">
        <f t="shared" si="0"/>
        <v>0</v>
      </c>
      <c r="AK5">
        <f t="shared" si="0"/>
        <v>0</v>
      </c>
      <c r="AL5">
        <f t="shared" si="0"/>
        <v>0</v>
      </c>
      <c r="AM5">
        <f t="shared" si="0"/>
        <v>0</v>
      </c>
      <c r="AN5">
        <f t="shared" si="0"/>
        <v>0</v>
      </c>
      <c r="AO5">
        <f t="shared" si="0"/>
        <v>0</v>
      </c>
      <c r="AP5">
        <f t="shared" si="0"/>
        <v>0</v>
      </c>
      <c r="AQ5">
        <f t="shared" ref="AQ5:AZ6" si="1">IF(N5="",0,1)</f>
        <v>0</v>
      </c>
      <c r="AR5">
        <f t="shared" si="1"/>
        <v>0</v>
      </c>
      <c r="AS5">
        <f t="shared" si="1"/>
        <v>0</v>
      </c>
      <c r="AT5">
        <f t="shared" si="1"/>
        <v>0</v>
      </c>
      <c r="AU5">
        <f t="shared" si="1"/>
        <v>1</v>
      </c>
      <c r="AV5">
        <f t="shared" si="1"/>
        <v>0</v>
      </c>
      <c r="AW5">
        <f t="shared" si="1"/>
        <v>0</v>
      </c>
      <c r="AX5">
        <f t="shared" si="1"/>
        <v>0</v>
      </c>
      <c r="AY5">
        <f t="shared" si="1"/>
        <v>0</v>
      </c>
      <c r="AZ5">
        <f t="shared" si="1"/>
        <v>0</v>
      </c>
      <c r="BB5">
        <f>IF(SUM(AG5:AZ5)&gt;0,1,0)</f>
        <v>1</v>
      </c>
    </row>
    <row r="6" spans="1:116" ht="44.25" customHeight="1">
      <c r="A6" s="81"/>
      <c r="B6" s="209" t="s">
        <v>25</v>
      </c>
      <c r="C6" s="209"/>
      <c r="D6" s="96"/>
      <c r="E6" s="96" t="s">
        <v>194</v>
      </c>
      <c r="F6" s="96" t="s">
        <v>194</v>
      </c>
      <c r="G6" s="96"/>
      <c r="H6" s="96"/>
      <c r="I6" s="96"/>
      <c r="J6" s="96"/>
      <c r="K6" s="96"/>
      <c r="L6" s="96"/>
      <c r="M6" s="96"/>
      <c r="N6" s="96"/>
      <c r="O6" s="96"/>
      <c r="P6" s="96" t="s">
        <v>194</v>
      </c>
      <c r="Q6" s="96"/>
      <c r="R6" s="96"/>
      <c r="S6" s="96"/>
      <c r="T6" s="96"/>
      <c r="U6" s="96"/>
      <c r="V6" s="96"/>
      <c r="W6" s="96"/>
      <c r="X6" s="86" t="str">
        <f t="shared" ref="X6:X21" si="2">IF(BB6=1,"Evaluable","Non-Evalauble")</f>
        <v>Evaluable</v>
      </c>
      <c r="Y6" s="85"/>
      <c r="AG6">
        <f t="shared" si="0"/>
        <v>0</v>
      </c>
      <c r="AH6">
        <f t="shared" si="0"/>
        <v>1</v>
      </c>
      <c r="AI6">
        <f t="shared" si="0"/>
        <v>1</v>
      </c>
      <c r="AJ6">
        <f t="shared" si="0"/>
        <v>0</v>
      </c>
      <c r="AK6">
        <f t="shared" si="0"/>
        <v>0</v>
      </c>
      <c r="AL6">
        <f t="shared" si="0"/>
        <v>0</v>
      </c>
      <c r="AM6">
        <f t="shared" si="0"/>
        <v>0</v>
      </c>
      <c r="AN6">
        <f t="shared" si="0"/>
        <v>0</v>
      </c>
      <c r="AO6">
        <f t="shared" si="0"/>
        <v>0</v>
      </c>
      <c r="AP6">
        <f t="shared" si="0"/>
        <v>0</v>
      </c>
      <c r="AQ6">
        <f t="shared" si="1"/>
        <v>0</v>
      </c>
      <c r="AR6">
        <f t="shared" si="1"/>
        <v>0</v>
      </c>
      <c r="AS6">
        <f t="shared" si="1"/>
        <v>1</v>
      </c>
      <c r="AT6">
        <f t="shared" si="1"/>
        <v>0</v>
      </c>
      <c r="AU6">
        <f t="shared" si="1"/>
        <v>0</v>
      </c>
      <c r="AV6">
        <f t="shared" si="1"/>
        <v>0</v>
      </c>
      <c r="AW6">
        <f t="shared" si="1"/>
        <v>0</v>
      </c>
      <c r="AX6">
        <f t="shared" si="1"/>
        <v>0</v>
      </c>
      <c r="AY6">
        <f t="shared" si="1"/>
        <v>0</v>
      </c>
      <c r="AZ6">
        <f t="shared" si="1"/>
        <v>0</v>
      </c>
      <c r="BB6">
        <f t="shared" ref="BB6:BB21" si="3">IF(SUM(AG6:AZ6)&gt;0,1,0)</f>
        <v>1</v>
      </c>
    </row>
    <row r="7" spans="1:116" ht="15" customHeight="1">
      <c r="A7" s="82" t="s">
        <v>26</v>
      </c>
      <c r="B7" s="216" t="s">
        <v>27</v>
      </c>
      <c r="C7" s="217"/>
      <c r="D7" s="217"/>
      <c r="E7" s="217"/>
      <c r="F7" s="217"/>
      <c r="G7" s="217"/>
      <c r="H7" s="217"/>
      <c r="I7" s="217"/>
      <c r="J7" s="217"/>
      <c r="K7" s="217"/>
      <c r="L7" s="217"/>
      <c r="M7" s="217"/>
      <c r="N7" s="217"/>
      <c r="O7" s="217"/>
      <c r="P7" s="217"/>
      <c r="Q7" s="217"/>
      <c r="R7" s="217"/>
      <c r="S7" s="217"/>
      <c r="T7" s="217"/>
      <c r="U7" s="217"/>
      <c r="V7" s="217"/>
      <c r="W7" s="217"/>
      <c r="X7" s="105"/>
      <c r="Y7" s="85" t="str">
        <f>IF(SUM(BB8:BB10)&gt;0,"oui","Non")</f>
        <v>oui</v>
      </c>
      <c r="BC7">
        <f>IF(Y7="oui",1,0)</f>
        <v>1</v>
      </c>
    </row>
    <row r="8" spans="1:116">
      <c r="A8" s="83"/>
      <c r="B8" s="210" t="s">
        <v>28</v>
      </c>
      <c r="C8" s="211"/>
      <c r="D8" s="96"/>
      <c r="E8" s="96"/>
      <c r="F8" s="96"/>
      <c r="G8" s="96" t="s">
        <v>194</v>
      </c>
      <c r="H8" s="96"/>
      <c r="I8" s="96"/>
      <c r="J8" s="96"/>
      <c r="K8" s="96"/>
      <c r="L8" s="96" t="s">
        <v>194</v>
      </c>
      <c r="M8" s="96"/>
      <c r="N8" s="96"/>
      <c r="O8" s="96"/>
      <c r="P8" s="96" t="s">
        <v>194</v>
      </c>
      <c r="Q8" s="96"/>
      <c r="R8" s="96"/>
      <c r="S8" s="96"/>
      <c r="T8" s="96"/>
      <c r="U8" s="96"/>
      <c r="V8" s="96"/>
      <c r="W8" s="96"/>
      <c r="X8" s="86" t="str">
        <f t="shared" si="2"/>
        <v>Evaluable</v>
      </c>
      <c r="Y8" s="85"/>
      <c r="AG8">
        <f t="shared" ref="AG8:AG21" si="4">IF(D8="",0,1)</f>
        <v>0</v>
      </c>
      <c r="AH8">
        <f t="shared" ref="AH8:AH21" si="5">IF(E8="",0,1)</f>
        <v>0</v>
      </c>
      <c r="AI8">
        <f t="shared" ref="AI8:AI21" si="6">IF(F8="",0,1)</f>
        <v>0</v>
      </c>
      <c r="AJ8">
        <f t="shared" ref="AJ8:AJ21" si="7">IF(G8="",0,1)</f>
        <v>1</v>
      </c>
      <c r="AK8">
        <f t="shared" ref="AK8:AK21" si="8">IF(H8="",0,1)</f>
        <v>0</v>
      </c>
      <c r="AL8">
        <f t="shared" ref="AL8:AL21" si="9">IF(I8="",0,1)</f>
        <v>0</v>
      </c>
      <c r="AM8">
        <f t="shared" ref="AM8:AM21" si="10">IF(J8="",0,1)</f>
        <v>0</v>
      </c>
      <c r="AN8">
        <f t="shared" ref="AN8:AN21" si="11">IF(K8="",0,1)</f>
        <v>0</v>
      </c>
      <c r="AO8">
        <f t="shared" ref="AO8:AO21" si="12">IF(L8="",0,1)</f>
        <v>1</v>
      </c>
      <c r="AP8">
        <f t="shared" ref="AP8:AP21" si="13">IF(M8="",0,1)</f>
        <v>0</v>
      </c>
      <c r="AQ8">
        <f t="shared" ref="AQ8:AQ21" si="14">IF(N8="",0,1)</f>
        <v>0</v>
      </c>
      <c r="AR8">
        <f t="shared" ref="AR8:AR21" si="15">IF(O8="",0,1)</f>
        <v>0</v>
      </c>
      <c r="AS8">
        <f t="shared" ref="AS8:AS21" si="16">IF(P8="",0,1)</f>
        <v>1</v>
      </c>
      <c r="AT8">
        <f t="shared" ref="AT8:AT21" si="17">IF(Q8="",0,1)</f>
        <v>0</v>
      </c>
      <c r="AU8">
        <f t="shared" ref="AU8:AU21" si="18">IF(R8="",0,1)</f>
        <v>0</v>
      </c>
      <c r="AV8">
        <f t="shared" ref="AV8:AV21" si="19">IF(S8="",0,1)</f>
        <v>0</v>
      </c>
      <c r="AW8">
        <f t="shared" ref="AW8:AW21" si="20">IF(T8="",0,1)</f>
        <v>0</v>
      </c>
      <c r="AX8">
        <f t="shared" ref="AX8:AX21" si="21">IF(U8="",0,1)</f>
        <v>0</v>
      </c>
      <c r="AY8">
        <f t="shared" ref="AY8:AY21" si="22">IF(V8="",0,1)</f>
        <v>0</v>
      </c>
      <c r="AZ8">
        <f t="shared" ref="AZ8:AZ21" si="23">IF(W8="",0,1)</f>
        <v>0</v>
      </c>
      <c r="BB8">
        <f t="shared" si="3"/>
        <v>1</v>
      </c>
    </row>
    <row r="9" spans="1:116" ht="30.75" customHeight="1">
      <c r="A9" s="81"/>
      <c r="B9" s="203" t="s">
        <v>29</v>
      </c>
      <c r="C9" s="212"/>
      <c r="D9" s="96"/>
      <c r="E9" s="96"/>
      <c r="F9" s="96"/>
      <c r="G9" s="96" t="s">
        <v>194</v>
      </c>
      <c r="H9" s="96"/>
      <c r="I9" s="96"/>
      <c r="J9" s="96"/>
      <c r="K9" s="96"/>
      <c r="L9" s="96" t="s">
        <v>194</v>
      </c>
      <c r="M9" s="96"/>
      <c r="N9" s="96"/>
      <c r="O9" s="96"/>
      <c r="P9" s="96" t="s">
        <v>194</v>
      </c>
      <c r="Q9" s="96"/>
      <c r="R9" s="96"/>
      <c r="S9" s="96"/>
      <c r="T9" s="96"/>
      <c r="U9" s="96"/>
      <c r="V9" s="96"/>
      <c r="W9" s="96"/>
      <c r="X9" s="86" t="str">
        <f t="shared" si="2"/>
        <v>Evaluable</v>
      </c>
      <c r="Y9" s="85"/>
      <c r="AG9">
        <f t="shared" si="4"/>
        <v>0</v>
      </c>
      <c r="AH9">
        <f t="shared" si="5"/>
        <v>0</v>
      </c>
      <c r="AI9">
        <f t="shared" si="6"/>
        <v>0</v>
      </c>
      <c r="AJ9">
        <f t="shared" si="7"/>
        <v>1</v>
      </c>
      <c r="AK9">
        <f t="shared" si="8"/>
        <v>0</v>
      </c>
      <c r="AL9">
        <f t="shared" si="9"/>
        <v>0</v>
      </c>
      <c r="AM9">
        <f t="shared" si="10"/>
        <v>0</v>
      </c>
      <c r="AN9">
        <f t="shared" si="11"/>
        <v>0</v>
      </c>
      <c r="AO9">
        <f t="shared" si="12"/>
        <v>1</v>
      </c>
      <c r="AP9">
        <f t="shared" si="13"/>
        <v>0</v>
      </c>
      <c r="AQ9">
        <f t="shared" si="14"/>
        <v>0</v>
      </c>
      <c r="AR9">
        <f t="shared" si="15"/>
        <v>0</v>
      </c>
      <c r="AS9">
        <f t="shared" si="16"/>
        <v>1</v>
      </c>
      <c r="AT9">
        <f t="shared" si="17"/>
        <v>0</v>
      </c>
      <c r="AU9">
        <f t="shared" si="18"/>
        <v>0</v>
      </c>
      <c r="AV9">
        <f t="shared" si="19"/>
        <v>0</v>
      </c>
      <c r="AW9">
        <f t="shared" si="20"/>
        <v>0</v>
      </c>
      <c r="AX9">
        <f t="shared" si="21"/>
        <v>0</v>
      </c>
      <c r="AY9">
        <f t="shared" si="22"/>
        <v>0</v>
      </c>
      <c r="AZ9">
        <f t="shared" si="23"/>
        <v>0</v>
      </c>
      <c r="BB9">
        <f t="shared" si="3"/>
        <v>1</v>
      </c>
    </row>
    <row r="10" spans="1:116" ht="30" customHeight="1">
      <c r="A10" s="81"/>
      <c r="B10" s="201" t="s">
        <v>30</v>
      </c>
      <c r="C10" s="205"/>
      <c r="D10" s="96"/>
      <c r="E10" s="96" t="s">
        <v>194</v>
      </c>
      <c r="F10" s="96" t="s">
        <v>194</v>
      </c>
      <c r="G10" s="96" t="s">
        <v>194</v>
      </c>
      <c r="H10" s="96"/>
      <c r="I10" s="96"/>
      <c r="J10" s="96"/>
      <c r="K10" s="96"/>
      <c r="L10" s="96" t="s">
        <v>194</v>
      </c>
      <c r="M10" s="96"/>
      <c r="N10" s="96"/>
      <c r="O10" s="96"/>
      <c r="P10" s="96" t="s">
        <v>194</v>
      </c>
      <c r="Q10" s="96"/>
      <c r="R10" s="96"/>
      <c r="S10" s="96"/>
      <c r="T10" s="96"/>
      <c r="U10" s="96"/>
      <c r="V10" s="96"/>
      <c r="W10" s="96"/>
      <c r="X10" s="86" t="str">
        <f t="shared" si="2"/>
        <v>Evaluable</v>
      </c>
      <c r="Y10" s="85"/>
      <c r="AG10">
        <f t="shared" si="4"/>
        <v>0</v>
      </c>
      <c r="AH10">
        <f t="shared" si="5"/>
        <v>1</v>
      </c>
      <c r="AI10">
        <f t="shared" si="6"/>
        <v>1</v>
      </c>
      <c r="AJ10">
        <f t="shared" si="7"/>
        <v>1</v>
      </c>
      <c r="AK10">
        <f t="shared" si="8"/>
        <v>0</v>
      </c>
      <c r="AL10">
        <f t="shared" si="9"/>
        <v>0</v>
      </c>
      <c r="AM10">
        <f t="shared" si="10"/>
        <v>0</v>
      </c>
      <c r="AN10">
        <f t="shared" si="11"/>
        <v>0</v>
      </c>
      <c r="AO10">
        <f t="shared" si="12"/>
        <v>1</v>
      </c>
      <c r="AP10">
        <f t="shared" si="13"/>
        <v>0</v>
      </c>
      <c r="AQ10">
        <f t="shared" si="14"/>
        <v>0</v>
      </c>
      <c r="AR10">
        <f t="shared" si="15"/>
        <v>0</v>
      </c>
      <c r="AS10">
        <f t="shared" si="16"/>
        <v>1</v>
      </c>
      <c r="AT10">
        <f t="shared" si="17"/>
        <v>0</v>
      </c>
      <c r="AU10">
        <f t="shared" si="18"/>
        <v>0</v>
      </c>
      <c r="AV10">
        <f t="shared" si="19"/>
        <v>0</v>
      </c>
      <c r="AW10">
        <f t="shared" si="20"/>
        <v>0</v>
      </c>
      <c r="AX10">
        <f t="shared" si="21"/>
        <v>0</v>
      </c>
      <c r="AY10">
        <f t="shared" si="22"/>
        <v>0</v>
      </c>
      <c r="AZ10">
        <f t="shared" si="23"/>
        <v>0</v>
      </c>
      <c r="BB10">
        <f t="shared" si="3"/>
        <v>1</v>
      </c>
    </row>
    <row r="11" spans="1:116" ht="15" customHeight="1">
      <c r="A11" s="80" t="s">
        <v>31</v>
      </c>
      <c r="B11" s="216" t="s">
        <v>32</v>
      </c>
      <c r="C11" s="217"/>
      <c r="D11" s="217"/>
      <c r="E11" s="217"/>
      <c r="F11" s="217"/>
      <c r="G11" s="217"/>
      <c r="H11" s="217"/>
      <c r="I11" s="217"/>
      <c r="J11" s="217"/>
      <c r="K11" s="217"/>
      <c r="L11" s="217"/>
      <c r="M11" s="217"/>
      <c r="N11" s="217"/>
      <c r="O11" s="217"/>
      <c r="P11" s="217"/>
      <c r="Q11" s="217"/>
      <c r="R11" s="217"/>
      <c r="S11" s="217"/>
      <c r="T11" s="217"/>
      <c r="U11" s="217"/>
      <c r="V11" s="217"/>
      <c r="W11" s="217"/>
      <c r="X11" s="105"/>
      <c r="Y11" s="85" t="str">
        <f>IF(SUM(BB12:BB14)&gt;0,"oui","Non")</f>
        <v>oui</v>
      </c>
      <c r="BC11">
        <f>IF(Y11="oui",1,0)</f>
        <v>1</v>
      </c>
    </row>
    <row r="12" spans="1:116" ht="17.25" customHeight="1">
      <c r="A12" s="81"/>
      <c r="B12" s="206" t="s">
        <v>33</v>
      </c>
      <c r="C12" s="206"/>
      <c r="D12" s="96" t="s">
        <v>194</v>
      </c>
      <c r="E12" s="96" t="s">
        <v>194</v>
      </c>
      <c r="F12" s="96" t="s">
        <v>194</v>
      </c>
      <c r="G12" s="96"/>
      <c r="H12" s="96"/>
      <c r="I12" s="96"/>
      <c r="J12" s="96"/>
      <c r="K12" s="96"/>
      <c r="L12" s="96"/>
      <c r="M12" s="96"/>
      <c r="N12" s="96"/>
      <c r="O12" s="96"/>
      <c r="P12" s="96"/>
      <c r="Q12" s="96"/>
      <c r="R12" s="96" t="s">
        <v>194</v>
      </c>
      <c r="S12" s="96"/>
      <c r="T12" s="96"/>
      <c r="U12" s="96"/>
      <c r="V12" s="96"/>
      <c r="W12" s="96"/>
      <c r="X12" s="86" t="str">
        <f t="shared" si="2"/>
        <v>Evaluable</v>
      </c>
      <c r="Y12" s="85"/>
      <c r="AG12">
        <f t="shared" si="4"/>
        <v>1</v>
      </c>
      <c r="AH12">
        <f t="shared" si="5"/>
        <v>1</v>
      </c>
      <c r="AI12">
        <f t="shared" si="6"/>
        <v>1</v>
      </c>
      <c r="AJ12">
        <f t="shared" si="7"/>
        <v>0</v>
      </c>
      <c r="AK12">
        <f t="shared" si="8"/>
        <v>0</v>
      </c>
      <c r="AL12">
        <f t="shared" si="9"/>
        <v>0</v>
      </c>
      <c r="AM12">
        <f t="shared" si="10"/>
        <v>0</v>
      </c>
      <c r="AN12">
        <f t="shared" si="11"/>
        <v>0</v>
      </c>
      <c r="AO12">
        <f t="shared" si="12"/>
        <v>0</v>
      </c>
      <c r="AP12">
        <f t="shared" si="13"/>
        <v>0</v>
      </c>
      <c r="AQ12">
        <f t="shared" si="14"/>
        <v>0</v>
      </c>
      <c r="AR12">
        <f t="shared" si="15"/>
        <v>0</v>
      </c>
      <c r="AS12">
        <f t="shared" si="16"/>
        <v>0</v>
      </c>
      <c r="AT12">
        <f t="shared" si="17"/>
        <v>0</v>
      </c>
      <c r="AU12">
        <f t="shared" si="18"/>
        <v>1</v>
      </c>
      <c r="AV12">
        <f t="shared" si="19"/>
        <v>0</v>
      </c>
      <c r="AW12">
        <f t="shared" si="20"/>
        <v>0</v>
      </c>
      <c r="AX12">
        <f t="shared" si="21"/>
        <v>0</v>
      </c>
      <c r="AY12">
        <f t="shared" si="22"/>
        <v>0</v>
      </c>
      <c r="AZ12">
        <f t="shared" si="23"/>
        <v>0</v>
      </c>
      <c r="BB12">
        <f t="shared" si="3"/>
        <v>1</v>
      </c>
    </row>
    <row r="13" spans="1:116">
      <c r="A13" s="81"/>
      <c r="B13" s="207" t="s">
        <v>34</v>
      </c>
      <c r="C13" s="207"/>
      <c r="D13" s="96"/>
      <c r="E13" s="96"/>
      <c r="F13" s="96"/>
      <c r="G13" s="96"/>
      <c r="H13" s="96"/>
      <c r="I13" s="96"/>
      <c r="J13" s="96"/>
      <c r="K13" s="96"/>
      <c r="L13" s="96"/>
      <c r="M13" s="96"/>
      <c r="N13" s="96"/>
      <c r="O13" s="96"/>
      <c r="P13" s="96"/>
      <c r="Q13" s="96"/>
      <c r="R13" s="96"/>
      <c r="S13" s="96"/>
      <c r="T13" s="96"/>
      <c r="U13" s="96"/>
      <c r="V13" s="96"/>
      <c r="W13" s="96"/>
      <c r="X13" s="86" t="str">
        <f t="shared" si="2"/>
        <v>Non-Evalauble</v>
      </c>
      <c r="Y13" s="85"/>
      <c r="AG13">
        <f t="shared" si="4"/>
        <v>0</v>
      </c>
      <c r="AH13">
        <f t="shared" si="5"/>
        <v>0</v>
      </c>
      <c r="AI13">
        <f t="shared" si="6"/>
        <v>0</v>
      </c>
      <c r="AJ13">
        <f t="shared" si="7"/>
        <v>0</v>
      </c>
      <c r="AK13">
        <f t="shared" si="8"/>
        <v>0</v>
      </c>
      <c r="AL13">
        <f t="shared" si="9"/>
        <v>0</v>
      </c>
      <c r="AM13">
        <f t="shared" si="10"/>
        <v>0</v>
      </c>
      <c r="AN13">
        <f t="shared" si="11"/>
        <v>0</v>
      </c>
      <c r="AO13">
        <f t="shared" si="12"/>
        <v>0</v>
      </c>
      <c r="AP13">
        <f t="shared" si="13"/>
        <v>0</v>
      </c>
      <c r="AQ13">
        <f t="shared" si="14"/>
        <v>0</v>
      </c>
      <c r="AR13">
        <f t="shared" si="15"/>
        <v>0</v>
      </c>
      <c r="AS13">
        <f t="shared" si="16"/>
        <v>0</v>
      </c>
      <c r="AT13">
        <f t="shared" si="17"/>
        <v>0</v>
      </c>
      <c r="AU13">
        <f t="shared" si="18"/>
        <v>0</v>
      </c>
      <c r="AV13">
        <f t="shared" si="19"/>
        <v>0</v>
      </c>
      <c r="AW13">
        <f t="shared" si="20"/>
        <v>0</v>
      </c>
      <c r="AX13">
        <f t="shared" si="21"/>
        <v>0</v>
      </c>
      <c r="AY13">
        <f t="shared" si="22"/>
        <v>0</v>
      </c>
      <c r="AZ13">
        <f t="shared" si="23"/>
        <v>0</v>
      </c>
      <c r="BB13">
        <f t="shared" si="3"/>
        <v>0</v>
      </c>
    </row>
    <row r="14" spans="1:116" ht="30.75" customHeight="1">
      <c r="A14" s="81"/>
      <c r="B14" s="206" t="s">
        <v>35</v>
      </c>
      <c r="C14" s="206"/>
      <c r="D14" s="96"/>
      <c r="E14" s="96"/>
      <c r="F14" s="96"/>
      <c r="G14" s="96"/>
      <c r="H14" s="96"/>
      <c r="I14" s="96"/>
      <c r="J14" s="96"/>
      <c r="K14" s="96"/>
      <c r="L14" s="96"/>
      <c r="M14" s="96"/>
      <c r="N14" s="96"/>
      <c r="O14" s="96"/>
      <c r="P14" s="96"/>
      <c r="Q14" s="96"/>
      <c r="R14" s="96"/>
      <c r="S14" s="96"/>
      <c r="T14" s="96"/>
      <c r="U14" s="96"/>
      <c r="V14" s="96"/>
      <c r="W14" s="96"/>
      <c r="X14" s="86" t="str">
        <f t="shared" si="2"/>
        <v>Non-Evalauble</v>
      </c>
      <c r="Y14" s="85"/>
      <c r="AG14">
        <f t="shared" si="4"/>
        <v>0</v>
      </c>
      <c r="AH14">
        <f t="shared" si="5"/>
        <v>0</v>
      </c>
      <c r="AI14">
        <f t="shared" si="6"/>
        <v>0</v>
      </c>
      <c r="AJ14">
        <f t="shared" si="7"/>
        <v>0</v>
      </c>
      <c r="AK14">
        <f t="shared" si="8"/>
        <v>0</v>
      </c>
      <c r="AL14">
        <f t="shared" si="9"/>
        <v>0</v>
      </c>
      <c r="AM14">
        <f t="shared" si="10"/>
        <v>0</v>
      </c>
      <c r="AN14">
        <f t="shared" si="11"/>
        <v>0</v>
      </c>
      <c r="AO14">
        <f t="shared" si="12"/>
        <v>0</v>
      </c>
      <c r="AP14">
        <f t="shared" si="13"/>
        <v>0</v>
      </c>
      <c r="AQ14">
        <f t="shared" si="14"/>
        <v>0</v>
      </c>
      <c r="AR14">
        <f t="shared" si="15"/>
        <v>0</v>
      </c>
      <c r="AS14">
        <f t="shared" si="16"/>
        <v>0</v>
      </c>
      <c r="AT14">
        <f t="shared" si="17"/>
        <v>0</v>
      </c>
      <c r="AU14">
        <f t="shared" si="18"/>
        <v>0</v>
      </c>
      <c r="AV14">
        <f t="shared" si="19"/>
        <v>0</v>
      </c>
      <c r="AW14">
        <f t="shared" si="20"/>
        <v>0</v>
      </c>
      <c r="AX14">
        <f t="shared" si="21"/>
        <v>0</v>
      </c>
      <c r="AY14">
        <f t="shared" si="22"/>
        <v>0</v>
      </c>
      <c r="AZ14">
        <f t="shared" si="23"/>
        <v>0</v>
      </c>
      <c r="BB14">
        <f t="shared" si="3"/>
        <v>0</v>
      </c>
    </row>
    <row r="15" spans="1:116" ht="15" customHeight="1">
      <c r="A15" s="97" t="s">
        <v>36</v>
      </c>
      <c r="B15" s="208" t="s">
        <v>37</v>
      </c>
      <c r="C15" s="208"/>
      <c r="D15" s="208"/>
      <c r="E15" s="208"/>
      <c r="F15" s="208"/>
      <c r="G15" s="208"/>
      <c r="H15" s="208"/>
      <c r="I15" s="208"/>
      <c r="J15" s="208"/>
      <c r="K15" s="208"/>
      <c r="L15" s="208"/>
      <c r="M15" s="208"/>
      <c r="N15" s="208"/>
      <c r="O15" s="208"/>
      <c r="P15" s="208"/>
      <c r="Q15" s="208"/>
      <c r="R15" s="208"/>
      <c r="S15" s="208"/>
      <c r="T15" s="208"/>
      <c r="U15" s="208"/>
      <c r="V15" s="208"/>
      <c r="W15" s="208"/>
      <c r="X15" s="105"/>
      <c r="Y15" s="85" t="str">
        <f>IF(SUM(BB16:BB18)&gt;0,"oui","Non")</f>
        <v>oui</v>
      </c>
      <c r="BC15">
        <f>IF(Y15="oui",1,0)</f>
        <v>1</v>
      </c>
    </row>
    <row r="16" spans="1:116" ht="29.25" customHeight="1">
      <c r="A16" s="83"/>
      <c r="B16" s="201" t="s">
        <v>38</v>
      </c>
      <c r="C16" s="202" t="s">
        <v>39</v>
      </c>
      <c r="D16" s="221"/>
      <c r="E16" s="221"/>
      <c r="F16" s="221"/>
      <c r="G16" s="221"/>
      <c r="H16" s="221"/>
      <c r="I16" s="221"/>
      <c r="J16" s="221"/>
      <c r="K16" s="221"/>
      <c r="L16" s="221"/>
      <c r="M16" s="221"/>
      <c r="N16" s="221"/>
      <c r="O16" s="221"/>
      <c r="P16" s="221"/>
      <c r="Q16" s="221"/>
      <c r="R16" s="221" t="s">
        <v>194</v>
      </c>
      <c r="S16" s="221"/>
      <c r="T16" s="221"/>
      <c r="U16" s="96"/>
      <c r="V16" s="96"/>
      <c r="W16" s="96"/>
      <c r="X16" s="86" t="str">
        <f t="shared" si="2"/>
        <v>Evaluable</v>
      </c>
      <c r="Y16" s="85"/>
      <c r="AG16">
        <f t="shared" si="4"/>
        <v>0</v>
      </c>
      <c r="AH16">
        <f t="shared" si="5"/>
        <v>0</v>
      </c>
      <c r="AI16">
        <f t="shared" si="6"/>
        <v>0</v>
      </c>
      <c r="AJ16">
        <f t="shared" si="7"/>
        <v>0</v>
      </c>
      <c r="AK16">
        <f t="shared" si="8"/>
        <v>0</v>
      </c>
      <c r="AL16">
        <f t="shared" si="9"/>
        <v>0</v>
      </c>
      <c r="AM16">
        <f t="shared" si="10"/>
        <v>0</v>
      </c>
      <c r="AN16">
        <f t="shared" si="11"/>
        <v>0</v>
      </c>
      <c r="AO16">
        <f t="shared" si="12"/>
        <v>0</v>
      </c>
      <c r="AP16">
        <f t="shared" si="13"/>
        <v>0</v>
      </c>
      <c r="AQ16">
        <f t="shared" si="14"/>
        <v>0</v>
      </c>
      <c r="AR16">
        <f t="shared" si="15"/>
        <v>0</v>
      </c>
      <c r="AS16">
        <f t="shared" si="16"/>
        <v>0</v>
      </c>
      <c r="AT16">
        <f t="shared" si="17"/>
        <v>0</v>
      </c>
      <c r="AU16">
        <f t="shared" si="18"/>
        <v>1</v>
      </c>
      <c r="AV16">
        <f t="shared" si="19"/>
        <v>0</v>
      </c>
      <c r="AW16">
        <f t="shared" si="20"/>
        <v>0</v>
      </c>
      <c r="AX16">
        <f t="shared" si="21"/>
        <v>0</v>
      </c>
      <c r="AY16">
        <f t="shared" si="22"/>
        <v>0</v>
      </c>
      <c r="AZ16">
        <f t="shared" si="23"/>
        <v>0</v>
      </c>
      <c r="BB16">
        <f t="shared" si="3"/>
        <v>1</v>
      </c>
    </row>
    <row r="17" spans="1:54" ht="29.25" customHeight="1">
      <c r="A17" s="83"/>
      <c r="B17" s="203" t="s">
        <v>40</v>
      </c>
      <c r="C17" s="204" t="s">
        <v>41</v>
      </c>
      <c r="D17" s="221"/>
      <c r="E17" s="221"/>
      <c r="F17" s="221"/>
      <c r="G17" s="221"/>
      <c r="H17" s="221"/>
      <c r="I17" s="221"/>
      <c r="J17" s="221"/>
      <c r="K17" s="221"/>
      <c r="L17" s="221"/>
      <c r="M17" s="221"/>
      <c r="N17" s="221"/>
      <c r="O17" s="221"/>
      <c r="P17" s="221"/>
      <c r="Q17" s="221"/>
      <c r="R17" s="221" t="s">
        <v>194</v>
      </c>
      <c r="S17" s="221"/>
      <c r="T17" s="221"/>
      <c r="U17" s="96"/>
      <c r="V17" s="96"/>
      <c r="W17" s="96"/>
      <c r="X17" s="86" t="str">
        <f t="shared" si="2"/>
        <v>Evaluable</v>
      </c>
      <c r="Y17" s="85"/>
      <c r="AG17">
        <f t="shared" si="4"/>
        <v>0</v>
      </c>
      <c r="AH17">
        <f t="shared" si="5"/>
        <v>0</v>
      </c>
      <c r="AI17">
        <f t="shared" si="6"/>
        <v>0</v>
      </c>
      <c r="AJ17">
        <f t="shared" si="7"/>
        <v>0</v>
      </c>
      <c r="AK17">
        <f t="shared" si="8"/>
        <v>0</v>
      </c>
      <c r="AL17">
        <f t="shared" si="9"/>
        <v>0</v>
      </c>
      <c r="AM17">
        <f t="shared" si="10"/>
        <v>0</v>
      </c>
      <c r="AN17">
        <f t="shared" si="11"/>
        <v>0</v>
      </c>
      <c r="AO17">
        <f t="shared" si="12"/>
        <v>0</v>
      </c>
      <c r="AP17">
        <f t="shared" si="13"/>
        <v>0</v>
      </c>
      <c r="AQ17">
        <f t="shared" si="14"/>
        <v>0</v>
      </c>
      <c r="AR17">
        <f t="shared" si="15"/>
        <v>0</v>
      </c>
      <c r="AS17">
        <f t="shared" si="16"/>
        <v>0</v>
      </c>
      <c r="AT17">
        <f t="shared" si="17"/>
        <v>0</v>
      </c>
      <c r="AU17">
        <f t="shared" si="18"/>
        <v>1</v>
      </c>
      <c r="AV17">
        <f t="shared" si="19"/>
        <v>0</v>
      </c>
      <c r="AW17">
        <f t="shared" si="20"/>
        <v>0</v>
      </c>
      <c r="AX17">
        <f t="shared" si="21"/>
        <v>0</v>
      </c>
      <c r="AY17">
        <f t="shared" si="22"/>
        <v>0</v>
      </c>
      <c r="AZ17">
        <f t="shared" si="23"/>
        <v>0</v>
      </c>
      <c r="BB17">
        <f t="shared" si="3"/>
        <v>1</v>
      </c>
    </row>
    <row r="18" spans="1:54" ht="17.25" customHeight="1">
      <c r="A18" s="84"/>
      <c r="B18" s="201" t="s">
        <v>42</v>
      </c>
      <c r="C18" s="202" t="s">
        <v>43</v>
      </c>
      <c r="D18" s="221"/>
      <c r="E18" s="221"/>
      <c r="F18" s="221"/>
      <c r="G18" s="221"/>
      <c r="H18" s="221"/>
      <c r="I18" s="221"/>
      <c r="J18" s="221"/>
      <c r="K18" s="221"/>
      <c r="L18" s="221"/>
      <c r="M18" s="221"/>
      <c r="N18" s="221"/>
      <c r="O18" s="221"/>
      <c r="P18" s="221"/>
      <c r="Q18" s="221"/>
      <c r="R18" s="221" t="s">
        <v>194</v>
      </c>
      <c r="S18" s="221"/>
      <c r="T18" s="221"/>
      <c r="U18" s="96"/>
      <c r="V18" s="96"/>
      <c r="W18" s="96"/>
      <c r="X18" s="86" t="str">
        <f t="shared" si="2"/>
        <v>Evaluable</v>
      </c>
      <c r="Y18" s="85"/>
      <c r="AG18">
        <f t="shared" si="4"/>
        <v>0</v>
      </c>
      <c r="AH18">
        <f t="shared" si="5"/>
        <v>0</v>
      </c>
      <c r="AI18">
        <f t="shared" si="6"/>
        <v>0</v>
      </c>
      <c r="AJ18">
        <f t="shared" si="7"/>
        <v>0</v>
      </c>
      <c r="AK18">
        <f t="shared" si="8"/>
        <v>0</v>
      </c>
      <c r="AL18">
        <f t="shared" si="9"/>
        <v>0</v>
      </c>
      <c r="AM18">
        <f t="shared" si="10"/>
        <v>0</v>
      </c>
      <c r="AN18">
        <f t="shared" si="11"/>
        <v>0</v>
      </c>
      <c r="AO18">
        <f t="shared" si="12"/>
        <v>0</v>
      </c>
      <c r="AP18">
        <f t="shared" si="13"/>
        <v>0</v>
      </c>
      <c r="AQ18">
        <f t="shared" si="14"/>
        <v>0</v>
      </c>
      <c r="AR18">
        <f t="shared" si="15"/>
        <v>0</v>
      </c>
      <c r="AS18">
        <f t="shared" si="16"/>
        <v>0</v>
      </c>
      <c r="AT18">
        <f t="shared" si="17"/>
        <v>0</v>
      </c>
      <c r="AU18">
        <f t="shared" si="18"/>
        <v>1</v>
      </c>
      <c r="AV18">
        <f t="shared" si="19"/>
        <v>0</v>
      </c>
      <c r="AW18">
        <f t="shared" si="20"/>
        <v>0</v>
      </c>
      <c r="AX18">
        <f t="shared" si="21"/>
        <v>0</v>
      </c>
      <c r="AY18">
        <f t="shared" si="22"/>
        <v>0</v>
      </c>
      <c r="AZ18">
        <f t="shared" si="23"/>
        <v>0</v>
      </c>
      <c r="BB18">
        <f t="shared" si="3"/>
        <v>1</v>
      </c>
    </row>
    <row r="19" spans="1:54" ht="15" customHeight="1">
      <c r="A19" s="80" t="s">
        <v>44</v>
      </c>
      <c r="B19" s="216" t="s">
        <v>91</v>
      </c>
      <c r="C19" s="217"/>
      <c r="D19" s="217"/>
      <c r="E19" s="217"/>
      <c r="F19" s="217"/>
      <c r="G19" s="217"/>
      <c r="H19" s="217"/>
      <c r="I19" s="217"/>
      <c r="J19" s="217"/>
      <c r="K19" s="217"/>
      <c r="L19" s="217"/>
      <c r="M19" s="217"/>
      <c r="N19" s="217"/>
      <c r="O19" s="217"/>
      <c r="P19" s="217"/>
      <c r="Q19" s="217"/>
      <c r="R19" s="217"/>
      <c r="S19" s="217"/>
      <c r="T19" s="217"/>
      <c r="U19" s="217"/>
      <c r="V19" s="217"/>
      <c r="W19" s="217"/>
      <c r="X19" s="105"/>
      <c r="Y19" s="85"/>
    </row>
    <row r="20" spans="1:54" ht="30" customHeight="1">
      <c r="A20" s="83"/>
      <c r="B20" s="218" t="s">
        <v>46</v>
      </c>
      <c r="C20" s="219" t="s">
        <v>47</v>
      </c>
      <c r="D20" s="96"/>
      <c r="E20" s="96"/>
      <c r="F20" s="96" t="s">
        <v>194</v>
      </c>
      <c r="G20" s="96"/>
      <c r="H20" s="96"/>
      <c r="I20" s="96"/>
      <c r="J20" s="96"/>
      <c r="K20" s="96"/>
      <c r="L20" s="96"/>
      <c r="M20" s="96"/>
      <c r="N20" s="96"/>
      <c r="O20" s="96"/>
      <c r="P20" s="96"/>
      <c r="Q20" s="96"/>
      <c r="R20" s="96"/>
      <c r="S20" s="96"/>
      <c r="T20" s="96"/>
      <c r="U20" s="96"/>
      <c r="V20" s="96"/>
      <c r="W20" s="96"/>
      <c r="X20" s="86" t="str">
        <f t="shared" si="2"/>
        <v>Evaluable</v>
      </c>
      <c r="Y20" s="85"/>
      <c r="AG20">
        <f t="shared" si="4"/>
        <v>0</v>
      </c>
      <c r="AH20">
        <f t="shared" si="5"/>
        <v>0</v>
      </c>
      <c r="AI20">
        <f t="shared" si="6"/>
        <v>1</v>
      </c>
      <c r="AJ20">
        <f t="shared" si="7"/>
        <v>0</v>
      </c>
      <c r="AK20">
        <f t="shared" si="8"/>
        <v>0</v>
      </c>
      <c r="AL20">
        <f t="shared" si="9"/>
        <v>0</v>
      </c>
      <c r="AM20">
        <f t="shared" si="10"/>
        <v>0</v>
      </c>
      <c r="AN20">
        <f t="shared" si="11"/>
        <v>0</v>
      </c>
      <c r="AO20">
        <f t="shared" si="12"/>
        <v>0</v>
      </c>
      <c r="AP20">
        <f t="shared" si="13"/>
        <v>0</v>
      </c>
      <c r="AQ20">
        <f t="shared" si="14"/>
        <v>0</v>
      </c>
      <c r="AR20">
        <f t="shared" si="15"/>
        <v>0</v>
      </c>
      <c r="AS20">
        <f t="shared" si="16"/>
        <v>0</v>
      </c>
      <c r="AT20">
        <f t="shared" si="17"/>
        <v>0</v>
      </c>
      <c r="AU20">
        <f t="shared" si="18"/>
        <v>0</v>
      </c>
      <c r="AV20">
        <f t="shared" si="19"/>
        <v>0</v>
      </c>
      <c r="AW20">
        <f t="shared" si="20"/>
        <v>0</v>
      </c>
      <c r="AX20">
        <f t="shared" si="21"/>
        <v>0</v>
      </c>
      <c r="AY20">
        <f t="shared" si="22"/>
        <v>0</v>
      </c>
      <c r="AZ20">
        <f t="shared" si="23"/>
        <v>0</v>
      </c>
      <c r="BB20">
        <f t="shared" si="3"/>
        <v>1</v>
      </c>
    </row>
    <row r="21" spans="1:54" ht="28.5" customHeight="1">
      <c r="A21" s="83"/>
      <c r="B21" s="203" t="s">
        <v>48</v>
      </c>
      <c r="C21" s="204" t="s">
        <v>41</v>
      </c>
      <c r="D21" s="96"/>
      <c r="E21" s="96"/>
      <c r="F21" s="96"/>
      <c r="G21" s="96"/>
      <c r="H21" s="96"/>
      <c r="I21" s="96"/>
      <c r="J21" s="96"/>
      <c r="K21" s="96"/>
      <c r="L21" s="96"/>
      <c r="M21" s="96"/>
      <c r="N21" s="96"/>
      <c r="O21" s="96"/>
      <c r="P21" s="96"/>
      <c r="Q21" s="96"/>
      <c r="R21" s="96"/>
      <c r="S21" s="96"/>
      <c r="T21" s="96"/>
      <c r="U21" s="96"/>
      <c r="V21" s="96"/>
      <c r="W21" s="96"/>
      <c r="X21" s="86" t="str">
        <f t="shared" si="2"/>
        <v>Non-Evalauble</v>
      </c>
      <c r="Y21" s="85"/>
      <c r="AG21">
        <f t="shared" si="4"/>
        <v>0</v>
      </c>
      <c r="AH21">
        <f t="shared" si="5"/>
        <v>0</v>
      </c>
      <c r="AI21">
        <f t="shared" si="6"/>
        <v>0</v>
      </c>
      <c r="AJ21">
        <f t="shared" si="7"/>
        <v>0</v>
      </c>
      <c r="AK21">
        <f t="shared" si="8"/>
        <v>0</v>
      </c>
      <c r="AL21">
        <f t="shared" si="9"/>
        <v>0</v>
      </c>
      <c r="AM21">
        <f t="shared" si="10"/>
        <v>0</v>
      </c>
      <c r="AN21">
        <f t="shared" si="11"/>
        <v>0</v>
      </c>
      <c r="AO21">
        <f t="shared" si="12"/>
        <v>0</v>
      </c>
      <c r="AP21">
        <f t="shared" si="13"/>
        <v>0</v>
      </c>
      <c r="AQ21">
        <f t="shared" si="14"/>
        <v>0</v>
      </c>
      <c r="AR21">
        <f t="shared" si="15"/>
        <v>0</v>
      </c>
      <c r="AS21">
        <f t="shared" si="16"/>
        <v>0</v>
      </c>
      <c r="AT21">
        <f t="shared" si="17"/>
        <v>0</v>
      </c>
      <c r="AU21">
        <f t="shared" si="18"/>
        <v>0</v>
      </c>
      <c r="AV21">
        <f t="shared" si="19"/>
        <v>0</v>
      </c>
      <c r="AW21">
        <f t="shared" si="20"/>
        <v>0</v>
      </c>
      <c r="AX21">
        <f t="shared" si="21"/>
        <v>0</v>
      </c>
      <c r="AY21">
        <f t="shared" si="22"/>
        <v>0</v>
      </c>
      <c r="AZ21">
        <f t="shared" si="23"/>
        <v>0</v>
      </c>
      <c r="BB21">
        <f t="shared" si="3"/>
        <v>0</v>
      </c>
    </row>
    <row r="23" spans="1:54" ht="18.75">
      <c r="D23" s="214" t="s">
        <v>85</v>
      </c>
      <c r="E23" s="214"/>
      <c r="F23" s="214"/>
      <c r="G23" s="214"/>
      <c r="H23" s="214"/>
      <c r="I23" s="214"/>
      <c r="J23" s="214"/>
      <c r="K23" s="214"/>
      <c r="L23" s="214"/>
      <c r="M23" s="214"/>
      <c r="N23" s="214"/>
      <c r="O23" s="214"/>
      <c r="P23" s="214"/>
      <c r="Q23" s="214"/>
      <c r="R23" s="214"/>
      <c r="S23" s="214"/>
      <c r="T23" s="213" t="str">
        <f>IF(SUM(BC4,BC7,BC11,BC15)=4,"OUI","NON")</f>
        <v>OUI</v>
      </c>
      <c r="U23" s="213"/>
      <c r="V23" s="213"/>
      <c r="W23" s="213"/>
      <c r="AG23">
        <f>IF(T23="non",0,1)</f>
        <v>1</v>
      </c>
      <c r="BB23">
        <f>SUM(BB5:BB18)</f>
        <v>9</v>
      </c>
    </row>
    <row r="25" spans="1:54" ht="18.75">
      <c r="D25" s="214" t="s">
        <v>86</v>
      </c>
      <c r="E25" s="214"/>
      <c r="F25" s="214"/>
      <c r="G25" s="214"/>
      <c r="H25" s="214"/>
      <c r="I25" s="214"/>
      <c r="J25" s="214"/>
      <c r="K25" s="214"/>
      <c r="L25" s="214"/>
      <c r="M25" s="214"/>
      <c r="N25" s="214"/>
      <c r="O25" s="214"/>
      <c r="P25" s="214"/>
      <c r="Q25" s="214"/>
      <c r="R25" s="214"/>
      <c r="S25" s="214"/>
      <c r="T25" s="213" t="str">
        <f>IF(BB23&gt;7,"OUI","NON")</f>
        <v>OUI</v>
      </c>
      <c r="U25" s="213"/>
      <c r="V25" s="213"/>
      <c r="W25" s="213"/>
      <c r="AG25">
        <f>IF(T25="non",0,1)</f>
        <v>1</v>
      </c>
    </row>
    <row r="28" spans="1:54">
      <c r="C28" s="86"/>
    </row>
    <row r="29" spans="1:54">
      <c r="C29" s="86"/>
    </row>
  </sheetData>
  <mergeCells count="25">
    <mergeCell ref="T23:W23"/>
    <mergeCell ref="D23:S23"/>
    <mergeCell ref="D25:S25"/>
    <mergeCell ref="T25:W25"/>
    <mergeCell ref="A3:B3"/>
    <mergeCell ref="B4:W4"/>
    <mergeCell ref="B7:W7"/>
    <mergeCell ref="B11:W11"/>
    <mergeCell ref="B20:C20"/>
    <mergeCell ref="B21:C21"/>
    <mergeCell ref="B19:W19"/>
    <mergeCell ref="A1:B1"/>
    <mergeCell ref="A2:B2"/>
    <mergeCell ref="B16:C16"/>
    <mergeCell ref="B17:C17"/>
    <mergeCell ref="B18:C18"/>
    <mergeCell ref="B10:C10"/>
    <mergeCell ref="B12:C12"/>
    <mergeCell ref="B13:C13"/>
    <mergeCell ref="B14:C14"/>
    <mergeCell ref="B15:W15"/>
    <mergeCell ref="B5:C5"/>
    <mergeCell ref="B6:C6"/>
    <mergeCell ref="B8:C8"/>
    <mergeCell ref="B9:C9"/>
  </mergeCells>
  <conditionalFormatting sqref="X4:X21">
    <cfRule type="cellIs" dxfId="52" priority="14" operator="equal">
      <formula>"Non-Evaluable"</formula>
    </cfRule>
    <cfRule type="cellIs" dxfId="51" priority="15" operator="equal">
      <formula>"Evaluable"</formula>
    </cfRule>
    <cfRule type="colorScale" priority="16">
      <colorScale>
        <cfvo type="min"/>
        <cfvo type="percentile" val="50"/>
        <cfvo type="max"/>
        <color rgb="FFF8696B"/>
        <color rgb="FFFFEB84"/>
        <color rgb="FF63BE7B"/>
      </colorScale>
    </cfRule>
    <cfRule type="containsText" dxfId="50" priority="18" operator="containsText" text="Non">
      <formula>NOT(ISERROR(SEARCH("Non",X4)))</formula>
    </cfRule>
    <cfRule type="containsText" dxfId="49" priority="19" operator="containsText" text="Evalauble">
      <formula>NOT(ISERROR(SEARCH("Evalauble",X4)))</formula>
    </cfRule>
    <cfRule type="containsText" dxfId="48" priority="21" operator="containsText" text="Non">
      <formula>NOT(ISERROR(SEARCH("Non",X4)))</formula>
    </cfRule>
    <cfRule type="containsText" dxfId="47" priority="22" operator="containsText" text="Evaluable">
      <formula>NOT(ISERROR(SEARCH("Evaluable",X4)))</formula>
    </cfRule>
    <cfRule type="containsText" dxfId="46" priority="23" operator="containsText" text="Non-Evalauble">
      <formula>NOT(ISERROR(SEARCH("Non-Evalauble",X4)))</formula>
    </cfRule>
  </conditionalFormatting>
  <conditionalFormatting sqref="X5:X21 C28:C29">
    <cfRule type="containsText" dxfId="45" priority="20" operator="containsText" text="Evaluable">
      <formula>NOT(ISERROR(SEARCH("Evaluable",C5)))</formula>
    </cfRule>
  </conditionalFormatting>
  <conditionalFormatting sqref="T23:W23 T25:W25">
    <cfRule type="containsText" dxfId="44" priority="12" operator="containsText" text="NON">
      <formula>NOT(ISERROR(SEARCH("NON",T23)))</formula>
    </cfRule>
    <cfRule type="cellIs" dxfId="43" priority="13" operator="equal">
      <formula>"OUI"</formula>
    </cfRule>
  </conditionalFormatting>
  <conditionalFormatting sqref="C28:C29">
    <cfRule type="cellIs" dxfId="42" priority="2" operator="equal">
      <formula>"Non-Evaluable"</formula>
    </cfRule>
    <cfRule type="cellIs" dxfId="41" priority="3" operator="equal">
      <formula>"Evaluable"</formula>
    </cfRule>
    <cfRule type="colorScale" priority="4">
      <colorScale>
        <cfvo type="min"/>
        <cfvo type="percentile" val="50"/>
        <cfvo type="max"/>
        <color rgb="FFF8696B"/>
        <color rgb="FFFFEB84"/>
        <color rgb="FF63BE7B"/>
      </colorScale>
    </cfRule>
    <cfRule type="containsText" dxfId="40" priority="5" operator="containsText" text="Non">
      <formula>NOT(ISERROR(SEARCH("Non",C28)))</formula>
    </cfRule>
    <cfRule type="containsText" dxfId="39" priority="6" operator="containsText" text="Evalauble">
      <formula>NOT(ISERROR(SEARCH("Evalauble",C28)))</formula>
    </cfRule>
    <cfRule type="containsText" dxfId="38" priority="7" operator="containsText" text="Non">
      <formula>NOT(ISERROR(SEARCH("Non",C28)))</formula>
    </cfRule>
    <cfRule type="containsText" dxfId="37" priority="8" operator="containsText" text="Evaluable">
      <formula>NOT(ISERROR(SEARCH("Evaluable",C28)))</formula>
    </cfRule>
    <cfRule type="containsText" dxfId="36" priority="9" operator="containsText" text="Non-Evalauble">
      <formula>NOT(ISERROR(SEARCH("Non-Evalauble",C28)))</formula>
    </cfRule>
  </conditionalFormatting>
  <pageMargins left="0.7" right="0.7" top="0.75" bottom="0.75" header="0.3" footer="0.3"/>
  <pageSetup paperSize="9" orientation="landscape" horizontalDpi="12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Transposition_ElA">
                <anchor moveWithCells="1" sizeWithCells="1">
                  <from>
                    <xdr:col>2</xdr:col>
                    <xdr:colOff>4562475</xdr:colOff>
                    <xdr:row>2</xdr:row>
                    <xdr:rowOff>390525</xdr:rowOff>
                  </from>
                  <to>
                    <xdr:col>2</xdr:col>
                    <xdr:colOff>6410325</xdr:colOff>
                    <xdr:row>2</xdr:row>
                    <xdr:rowOff>1247775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A1:DL25"/>
  <sheetViews>
    <sheetView zoomScale="80" zoomScaleNormal="80" workbookViewId="0">
      <selection activeCell="C25" sqref="C25"/>
    </sheetView>
  </sheetViews>
  <sheetFormatPr baseColWidth="10" defaultRowHeight="15"/>
  <cols>
    <col min="3" max="3" width="103.7109375" customWidth="1"/>
    <col min="4" max="9" width="3" bestFit="1" customWidth="1"/>
    <col min="10" max="10" width="3.7109375" bestFit="1" customWidth="1"/>
    <col min="11" max="19" width="3" bestFit="1" customWidth="1"/>
    <col min="20" max="23" width="3" customWidth="1"/>
    <col min="24" max="24" width="14.140625" bestFit="1" customWidth="1"/>
    <col min="25" max="32" width="11.42578125" customWidth="1"/>
    <col min="33" max="55" width="11.42578125" hidden="1" customWidth="1"/>
    <col min="56" max="169" width="11.42578125" customWidth="1"/>
  </cols>
  <sheetData>
    <row r="1" spans="1:116" ht="33.75" customHeight="1">
      <c r="A1" s="200" t="s">
        <v>50</v>
      </c>
      <c r="B1" s="200"/>
      <c r="C1" s="100" t="str">
        <f>Synthèse!D22</f>
        <v>Nom2</v>
      </c>
    </row>
    <row r="2" spans="1:116" ht="30" customHeight="1">
      <c r="A2" s="200" t="s">
        <v>56</v>
      </c>
      <c r="B2" s="200"/>
      <c r="C2" s="100" t="str">
        <f>Synthèse!E22</f>
        <v>Prénom2</v>
      </c>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row>
    <row r="3" spans="1:116" ht="226.5" customHeight="1">
      <c r="A3" s="215"/>
      <c r="B3" s="215"/>
      <c r="D3" s="147" t="s">
        <v>204</v>
      </c>
      <c r="E3" s="147" t="s">
        <v>196</v>
      </c>
      <c r="F3" s="147" t="s">
        <v>197</v>
      </c>
      <c r="G3" s="147" t="s">
        <v>55</v>
      </c>
      <c r="H3" s="147" t="s">
        <v>199</v>
      </c>
      <c r="I3" s="147" t="s">
        <v>55</v>
      </c>
      <c r="J3" s="147"/>
      <c r="K3" s="147" t="s">
        <v>216</v>
      </c>
      <c r="L3" s="147" t="s">
        <v>55</v>
      </c>
      <c r="M3" s="147" t="s">
        <v>200</v>
      </c>
      <c r="N3" s="147" t="s">
        <v>55</v>
      </c>
      <c r="O3" s="147" t="s">
        <v>201</v>
      </c>
      <c r="P3" s="147" t="s">
        <v>55</v>
      </c>
      <c r="Q3" s="147"/>
      <c r="R3" s="147" t="s">
        <v>205</v>
      </c>
      <c r="S3" s="147"/>
      <c r="T3" s="147"/>
      <c r="U3" s="147"/>
      <c r="V3" s="147"/>
      <c r="W3" s="147"/>
      <c r="Y3" s="99"/>
    </row>
    <row r="4" spans="1:116" ht="15" customHeight="1">
      <c r="A4" s="80" t="s">
        <v>22</v>
      </c>
      <c r="B4" s="216" t="s">
        <v>23</v>
      </c>
      <c r="C4" s="217"/>
      <c r="D4" s="217"/>
      <c r="E4" s="217"/>
      <c r="F4" s="217"/>
      <c r="G4" s="217"/>
      <c r="H4" s="217"/>
      <c r="I4" s="217"/>
      <c r="J4" s="217"/>
      <c r="K4" s="217"/>
      <c r="L4" s="217"/>
      <c r="M4" s="217"/>
      <c r="N4" s="217"/>
      <c r="O4" s="217"/>
      <c r="P4" s="217"/>
      <c r="Q4" s="217"/>
      <c r="R4" s="217"/>
      <c r="S4" s="217"/>
      <c r="T4" s="217"/>
      <c r="U4" s="217"/>
      <c r="V4" s="217"/>
      <c r="W4" s="217"/>
      <c r="X4" s="105"/>
      <c r="Y4" s="85" t="str">
        <f>IF(SUM(BB5:BB6)&gt;0,"oui","Non")</f>
        <v>oui</v>
      </c>
      <c r="BC4">
        <f>IF(Y4="oui",1,0)</f>
        <v>1</v>
      </c>
    </row>
    <row r="5" spans="1:116" ht="24.75" customHeight="1">
      <c r="A5" s="81"/>
      <c r="B5" s="201" t="s">
        <v>24</v>
      </c>
      <c r="C5" s="205"/>
      <c r="D5" s="96"/>
      <c r="E5" s="96"/>
      <c r="F5" s="96"/>
      <c r="G5" s="96"/>
      <c r="H5" s="96"/>
      <c r="I5" s="96"/>
      <c r="J5" s="96"/>
      <c r="K5" s="96"/>
      <c r="L5" s="96"/>
      <c r="M5" s="96"/>
      <c r="N5" s="96"/>
      <c r="O5" s="96"/>
      <c r="P5" s="96"/>
      <c r="Q5" s="96"/>
      <c r="R5" s="96" t="s">
        <v>194</v>
      </c>
      <c r="S5" s="96"/>
      <c r="T5" s="96"/>
      <c r="U5" s="96"/>
      <c r="V5" s="96"/>
      <c r="W5" s="96"/>
      <c r="X5" s="86" t="str">
        <f>IF(BB5=1,"Evaluable","Non-Evalauble")</f>
        <v>Evaluable</v>
      </c>
      <c r="Y5" s="85"/>
      <c r="AG5">
        <f t="shared" ref="AG5:AP6" si="0">IF(D5="",0,1)</f>
        <v>0</v>
      </c>
      <c r="AH5">
        <f t="shared" si="0"/>
        <v>0</v>
      </c>
      <c r="AI5">
        <f t="shared" si="0"/>
        <v>0</v>
      </c>
      <c r="AJ5">
        <f t="shared" si="0"/>
        <v>0</v>
      </c>
      <c r="AK5">
        <f t="shared" si="0"/>
        <v>0</v>
      </c>
      <c r="AL5">
        <f t="shared" si="0"/>
        <v>0</v>
      </c>
      <c r="AM5">
        <f t="shared" si="0"/>
        <v>0</v>
      </c>
      <c r="AN5">
        <f t="shared" si="0"/>
        <v>0</v>
      </c>
      <c r="AO5">
        <f t="shared" si="0"/>
        <v>0</v>
      </c>
      <c r="AP5">
        <f t="shared" si="0"/>
        <v>0</v>
      </c>
      <c r="AQ5">
        <f t="shared" ref="AQ5:AZ6" si="1">IF(N5="",0,1)</f>
        <v>0</v>
      </c>
      <c r="AR5">
        <f t="shared" si="1"/>
        <v>0</v>
      </c>
      <c r="AS5">
        <f t="shared" si="1"/>
        <v>0</v>
      </c>
      <c r="AT5">
        <f t="shared" si="1"/>
        <v>0</v>
      </c>
      <c r="AU5">
        <f t="shared" si="1"/>
        <v>1</v>
      </c>
      <c r="AV5">
        <f t="shared" si="1"/>
        <v>0</v>
      </c>
      <c r="AW5">
        <f t="shared" si="1"/>
        <v>0</v>
      </c>
      <c r="AX5">
        <f t="shared" si="1"/>
        <v>0</v>
      </c>
      <c r="AY5">
        <f t="shared" si="1"/>
        <v>0</v>
      </c>
      <c r="AZ5">
        <f t="shared" si="1"/>
        <v>0</v>
      </c>
      <c r="BB5">
        <f>IF(SUM(AG5:AZ5)&gt;0,1,0)</f>
        <v>1</v>
      </c>
    </row>
    <row r="6" spans="1:116" ht="44.25" customHeight="1">
      <c r="A6" s="81"/>
      <c r="B6" s="209" t="s">
        <v>25</v>
      </c>
      <c r="C6" s="209"/>
      <c r="D6" s="96"/>
      <c r="E6" s="96" t="s">
        <v>194</v>
      </c>
      <c r="F6" s="96" t="s">
        <v>194</v>
      </c>
      <c r="G6" s="96"/>
      <c r="H6" s="96"/>
      <c r="I6" s="96"/>
      <c r="J6" s="96"/>
      <c r="K6" s="96"/>
      <c r="L6" s="96"/>
      <c r="M6" s="96"/>
      <c r="N6" s="96"/>
      <c r="O6" s="96" t="s">
        <v>194</v>
      </c>
      <c r="P6" s="96"/>
      <c r="Q6" s="96"/>
      <c r="R6" s="96"/>
      <c r="S6" s="96"/>
      <c r="T6" s="96"/>
      <c r="U6" s="96"/>
      <c r="V6" s="96"/>
      <c r="W6" s="96"/>
      <c r="X6" s="86" t="str">
        <f t="shared" ref="X6:X21" si="2">IF(BB6=1,"Evaluable","Non-Evalauble")</f>
        <v>Evaluable</v>
      </c>
      <c r="Y6" s="85"/>
      <c r="AG6">
        <f t="shared" si="0"/>
        <v>0</v>
      </c>
      <c r="AH6">
        <f t="shared" si="0"/>
        <v>1</v>
      </c>
      <c r="AI6">
        <f t="shared" si="0"/>
        <v>1</v>
      </c>
      <c r="AJ6">
        <f t="shared" si="0"/>
        <v>0</v>
      </c>
      <c r="AK6">
        <f t="shared" si="0"/>
        <v>0</v>
      </c>
      <c r="AL6">
        <f t="shared" si="0"/>
        <v>0</v>
      </c>
      <c r="AM6">
        <f t="shared" si="0"/>
        <v>0</v>
      </c>
      <c r="AN6">
        <f t="shared" si="0"/>
        <v>0</v>
      </c>
      <c r="AO6">
        <f t="shared" si="0"/>
        <v>0</v>
      </c>
      <c r="AP6">
        <f t="shared" si="0"/>
        <v>0</v>
      </c>
      <c r="AQ6">
        <f t="shared" si="1"/>
        <v>0</v>
      </c>
      <c r="AR6">
        <f t="shared" si="1"/>
        <v>1</v>
      </c>
      <c r="AS6">
        <f t="shared" si="1"/>
        <v>0</v>
      </c>
      <c r="AT6">
        <f t="shared" si="1"/>
        <v>0</v>
      </c>
      <c r="AU6">
        <f t="shared" si="1"/>
        <v>0</v>
      </c>
      <c r="AV6">
        <f t="shared" si="1"/>
        <v>0</v>
      </c>
      <c r="AW6">
        <f t="shared" si="1"/>
        <v>0</v>
      </c>
      <c r="AX6">
        <f t="shared" si="1"/>
        <v>0</v>
      </c>
      <c r="AY6">
        <f t="shared" si="1"/>
        <v>0</v>
      </c>
      <c r="AZ6">
        <f t="shared" si="1"/>
        <v>0</v>
      </c>
      <c r="BB6">
        <f t="shared" ref="BB6:BB21" si="3">IF(SUM(AG6:AZ6)&gt;0,1,0)</f>
        <v>1</v>
      </c>
    </row>
    <row r="7" spans="1:116" ht="15" customHeight="1">
      <c r="A7" s="82" t="s">
        <v>26</v>
      </c>
      <c r="B7" s="216" t="s">
        <v>27</v>
      </c>
      <c r="C7" s="217"/>
      <c r="D7" s="217"/>
      <c r="E7" s="217"/>
      <c r="F7" s="217"/>
      <c r="G7" s="217"/>
      <c r="H7" s="217"/>
      <c r="I7" s="217"/>
      <c r="J7" s="217"/>
      <c r="K7" s="217"/>
      <c r="L7" s="217"/>
      <c r="M7" s="217"/>
      <c r="N7" s="217"/>
      <c r="O7" s="217"/>
      <c r="P7" s="217"/>
      <c r="Q7" s="217"/>
      <c r="R7" s="217"/>
      <c r="S7" s="217"/>
      <c r="T7" s="217"/>
      <c r="U7" s="217"/>
      <c r="V7" s="217"/>
      <c r="W7" s="217"/>
      <c r="X7" s="105"/>
      <c r="Y7" s="85" t="str">
        <f>IF(SUM(BB8:BB10)&gt;0,"oui","Non")</f>
        <v>oui</v>
      </c>
      <c r="BC7">
        <f>IF(Y7="oui",1,0)</f>
        <v>1</v>
      </c>
    </row>
    <row r="8" spans="1:116">
      <c r="A8" s="83"/>
      <c r="B8" s="210" t="s">
        <v>28</v>
      </c>
      <c r="C8" s="211"/>
      <c r="D8" s="96"/>
      <c r="E8" s="96"/>
      <c r="F8" s="96"/>
      <c r="G8" s="96"/>
      <c r="H8" s="96"/>
      <c r="I8" s="96"/>
      <c r="J8" s="96"/>
      <c r="K8" s="96" t="s">
        <v>194</v>
      </c>
      <c r="L8" s="96"/>
      <c r="M8" s="96" t="s">
        <v>194</v>
      </c>
      <c r="N8" s="96"/>
      <c r="O8" s="96" t="s">
        <v>194</v>
      </c>
      <c r="P8" s="96"/>
      <c r="Q8" s="96"/>
      <c r="R8" s="96"/>
      <c r="S8" s="96"/>
      <c r="T8" s="96"/>
      <c r="U8" s="96"/>
      <c r="V8" s="96"/>
      <c r="W8" s="96"/>
      <c r="X8" s="86" t="str">
        <f t="shared" si="2"/>
        <v>Evaluable</v>
      </c>
      <c r="Y8" s="85"/>
      <c r="AG8">
        <f t="shared" ref="AG8:AV21" si="4">IF(D8="",0,1)</f>
        <v>0</v>
      </c>
      <c r="AH8">
        <f t="shared" si="4"/>
        <v>0</v>
      </c>
      <c r="AI8">
        <f t="shared" si="4"/>
        <v>0</v>
      </c>
      <c r="AJ8">
        <f t="shared" si="4"/>
        <v>0</v>
      </c>
      <c r="AK8">
        <f t="shared" si="4"/>
        <v>0</v>
      </c>
      <c r="AL8">
        <f t="shared" si="4"/>
        <v>0</v>
      </c>
      <c r="AM8">
        <f t="shared" si="4"/>
        <v>0</v>
      </c>
      <c r="AN8">
        <f t="shared" si="4"/>
        <v>1</v>
      </c>
      <c r="AO8">
        <f t="shared" si="4"/>
        <v>0</v>
      </c>
      <c r="AP8">
        <f t="shared" si="4"/>
        <v>1</v>
      </c>
      <c r="AQ8">
        <f t="shared" si="4"/>
        <v>0</v>
      </c>
      <c r="AR8">
        <f t="shared" si="4"/>
        <v>1</v>
      </c>
      <c r="AS8">
        <f t="shared" si="4"/>
        <v>0</v>
      </c>
      <c r="AT8">
        <f t="shared" si="4"/>
        <v>0</v>
      </c>
      <c r="AU8">
        <f t="shared" si="4"/>
        <v>0</v>
      </c>
      <c r="AV8">
        <f t="shared" si="4"/>
        <v>0</v>
      </c>
      <c r="AW8">
        <f t="shared" ref="AW8:AZ21" si="5">IF(T8="",0,1)</f>
        <v>0</v>
      </c>
      <c r="AX8">
        <f t="shared" si="5"/>
        <v>0</v>
      </c>
      <c r="AY8">
        <f t="shared" si="5"/>
        <v>0</v>
      </c>
      <c r="AZ8">
        <f t="shared" si="5"/>
        <v>0</v>
      </c>
      <c r="BB8">
        <f t="shared" si="3"/>
        <v>1</v>
      </c>
    </row>
    <row r="9" spans="1:116" ht="30.75" customHeight="1">
      <c r="A9" s="81"/>
      <c r="B9" s="203" t="s">
        <v>29</v>
      </c>
      <c r="C9" s="212"/>
      <c r="D9" s="96"/>
      <c r="E9" s="96"/>
      <c r="F9" s="96"/>
      <c r="G9" s="96"/>
      <c r="H9" s="96"/>
      <c r="I9" s="96"/>
      <c r="J9" s="96"/>
      <c r="K9" s="96" t="s">
        <v>194</v>
      </c>
      <c r="L9" s="96"/>
      <c r="M9" s="96" t="s">
        <v>194</v>
      </c>
      <c r="N9" s="96"/>
      <c r="O9" s="96" t="s">
        <v>194</v>
      </c>
      <c r="P9" s="96"/>
      <c r="Q9" s="96"/>
      <c r="R9" s="96"/>
      <c r="S9" s="96"/>
      <c r="T9" s="96"/>
      <c r="U9" s="96"/>
      <c r="V9" s="96"/>
      <c r="W9" s="96"/>
      <c r="X9" s="86" t="str">
        <f t="shared" si="2"/>
        <v>Evaluable</v>
      </c>
      <c r="Y9" s="85"/>
      <c r="AG9">
        <f t="shared" si="4"/>
        <v>0</v>
      </c>
      <c r="AH9">
        <f t="shared" si="4"/>
        <v>0</v>
      </c>
      <c r="AI9">
        <f t="shared" si="4"/>
        <v>0</v>
      </c>
      <c r="AJ9">
        <f t="shared" si="4"/>
        <v>0</v>
      </c>
      <c r="AK9">
        <f t="shared" si="4"/>
        <v>0</v>
      </c>
      <c r="AL9">
        <f t="shared" si="4"/>
        <v>0</v>
      </c>
      <c r="AM9">
        <f t="shared" si="4"/>
        <v>0</v>
      </c>
      <c r="AN9">
        <f t="shared" si="4"/>
        <v>1</v>
      </c>
      <c r="AO9">
        <f t="shared" si="4"/>
        <v>0</v>
      </c>
      <c r="AP9">
        <f t="shared" si="4"/>
        <v>1</v>
      </c>
      <c r="AQ9">
        <f t="shared" si="4"/>
        <v>0</v>
      </c>
      <c r="AR9">
        <f t="shared" si="4"/>
        <v>1</v>
      </c>
      <c r="AS9">
        <f t="shared" si="4"/>
        <v>0</v>
      </c>
      <c r="AT9">
        <f t="shared" si="4"/>
        <v>0</v>
      </c>
      <c r="AU9">
        <f t="shared" si="4"/>
        <v>0</v>
      </c>
      <c r="AV9">
        <f t="shared" si="4"/>
        <v>0</v>
      </c>
      <c r="AW9">
        <f t="shared" si="5"/>
        <v>0</v>
      </c>
      <c r="AX9">
        <f t="shared" si="5"/>
        <v>0</v>
      </c>
      <c r="AY9">
        <f t="shared" si="5"/>
        <v>0</v>
      </c>
      <c r="AZ9">
        <f t="shared" si="5"/>
        <v>0</v>
      </c>
      <c r="BB9">
        <f t="shared" si="3"/>
        <v>1</v>
      </c>
    </row>
    <row r="10" spans="1:116" ht="30" customHeight="1">
      <c r="A10" s="81"/>
      <c r="B10" s="201" t="s">
        <v>30</v>
      </c>
      <c r="C10" s="205"/>
      <c r="D10" s="96"/>
      <c r="E10" s="96" t="s">
        <v>194</v>
      </c>
      <c r="F10" s="96" t="s">
        <v>194</v>
      </c>
      <c r="G10" s="96"/>
      <c r="H10" s="96"/>
      <c r="I10" s="96"/>
      <c r="J10" s="96"/>
      <c r="K10" s="96" t="s">
        <v>194</v>
      </c>
      <c r="L10" s="96"/>
      <c r="M10" s="96" t="s">
        <v>194</v>
      </c>
      <c r="N10" s="96"/>
      <c r="O10" s="96" t="s">
        <v>194</v>
      </c>
      <c r="P10" s="96"/>
      <c r="Q10" s="96"/>
      <c r="R10" s="96" t="s">
        <v>194</v>
      </c>
      <c r="S10" s="96"/>
      <c r="T10" s="96"/>
      <c r="U10" s="96"/>
      <c r="V10" s="96"/>
      <c r="W10" s="96"/>
      <c r="X10" s="86" t="str">
        <f t="shared" si="2"/>
        <v>Evaluable</v>
      </c>
      <c r="Y10" s="85"/>
      <c r="AG10">
        <f t="shared" si="4"/>
        <v>0</v>
      </c>
      <c r="AH10">
        <f t="shared" si="4"/>
        <v>1</v>
      </c>
      <c r="AI10">
        <f t="shared" si="4"/>
        <v>1</v>
      </c>
      <c r="AJ10">
        <f t="shared" si="4"/>
        <v>0</v>
      </c>
      <c r="AK10">
        <f t="shared" si="4"/>
        <v>0</v>
      </c>
      <c r="AL10">
        <f t="shared" si="4"/>
        <v>0</v>
      </c>
      <c r="AM10">
        <f t="shared" si="4"/>
        <v>0</v>
      </c>
      <c r="AN10">
        <f t="shared" si="4"/>
        <v>1</v>
      </c>
      <c r="AO10">
        <f t="shared" si="4"/>
        <v>0</v>
      </c>
      <c r="AP10">
        <f t="shared" si="4"/>
        <v>1</v>
      </c>
      <c r="AQ10">
        <f t="shared" si="4"/>
        <v>0</v>
      </c>
      <c r="AR10">
        <f t="shared" si="4"/>
        <v>1</v>
      </c>
      <c r="AS10">
        <f t="shared" si="4"/>
        <v>0</v>
      </c>
      <c r="AT10">
        <f t="shared" si="4"/>
        <v>0</v>
      </c>
      <c r="AU10">
        <f t="shared" si="4"/>
        <v>1</v>
      </c>
      <c r="AV10">
        <f t="shared" si="4"/>
        <v>0</v>
      </c>
      <c r="AW10">
        <f t="shared" si="5"/>
        <v>0</v>
      </c>
      <c r="AX10">
        <f t="shared" si="5"/>
        <v>0</v>
      </c>
      <c r="AY10">
        <f t="shared" si="5"/>
        <v>0</v>
      </c>
      <c r="AZ10">
        <f t="shared" si="5"/>
        <v>0</v>
      </c>
      <c r="BB10">
        <f t="shared" si="3"/>
        <v>1</v>
      </c>
    </row>
    <row r="11" spans="1:116" ht="15" customHeight="1">
      <c r="A11" s="80" t="s">
        <v>31</v>
      </c>
      <c r="B11" s="216" t="s">
        <v>32</v>
      </c>
      <c r="C11" s="217"/>
      <c r="D11" s="217"/>
      <c r="E11" s="217"/>
      <c r="F11" s="217"/>
      <c r="G11" s="217"/>
      <c r="H11" s="217"/>
      <c r="I11" s="217"/>
      <c r="J11" s="217"/>
      <c r="K11" s="217"/>
      <c r="L11" s="217"/>
      <c r="M11" s="217"/>
      <c r="N11" s="217"/>
      <c r="O11" s="217"/>
      <c r="P11" s="217"/>
      <c r="Q11" s="217"/>
      <c r="R11" s="217"/>
      <c r="S11" s="217"/>
      <c r="T11" s="217"/>
      <c r="U11" s="217"/>
      <c r="V11" s="217"/>
      <c r="W11" s="217"/>
      <c r="X11" s="105"/>
      <c r="Y11" s="85" t="str">
        <f>IF(SUM(BB12:BB14)&gt;0,"oui","Non")</f>
        <v>oui</v>
      </c>
      <c r="BC11">
        <f>IF(Y11="oui",1,0)</f>
        <v>1</v>
      </c>
    </row>
    <row r="12" spans="1:116" ht="17.25" customHeight="1">
      <c r="A12" s="81"/>
      <c r="B12" s="206" t="s">
        <v>33</v>
      </c>
      <c r="C12" s="206"/>
      <c r="D12" s="96" t="s">
        <v>194</v>
      </c>
      <c r="E12" s="96" t="s">
        <v>194</v>
      </c>
      <c r="F12" s="96" t="s">
        <v>194</v>
      </c>
      <c r="G12" s="96"/>
      <c r="H12" s="96"/>
      <c r="I12" s="96"/>
      <c r="J12" s="96"/>
      <c r="K12" s="96"/>
      <c r="L12" s="96"/>
      <c r="M12" s="96"/>
      <c r="N12" s="96"/>
      <c r="O12" s="96"/>
      <c r="P12" s="96"/>
      <c r="Q12" s="96"/>
      <c r="R12" s="96" t="s">
        <v>194</v>
      </c>
      <c r="S12" s="96"/>
      <c r="T12" s="96"/>
      <c r="U12" s="96"/>
      <c r="V12" s="96"/>
      <c r="W12" s="96"/>
      <c r="X12" s="86" t="str">
        <f t="shared" si="2"/>
        <v>Evaluable</v>
      </c>
      <c r="Y12" s="85"/>
      <c r="AG12">
        <f t="shared" si="4"/>
        <v>1</v>
      </c>
      <c r="AH12">
        <f t="shared" si="4"/>
        <v>1</v>
      </c>
      <c r="AI12">
        <f t="shared" si="4"/>
        <v>1</v>
      </c>
      <c r="AJ12">
        <f t="shared" si="4"/>
        <v>0</v>
      </c>
      <c r="AK12">
        <f t="shared" si="4"/>
        <v>0</v>
      </c>
      <c r="AL12">
        <f t="shared" si="4"/>
        <v>0</v>
      </c>
      <c r="AM12">
        <f t="shared" si="4"/>
        <v>0</v>
      </c>
      <c r="AN12">
        <f t="shared" si="4"/>
        <v>0</v>
      </c>
      <c r="AO12">
        <f t="shared" si="4"/>
        <v>0</v>
      </c>
      <c r="AP12">
        <f t="shared" si="4"/>
        <v>0</v>
      </c>
      <c r="AQ12">
        <f t="shared" si="4"/>
        <v>0</v>
      </c>
      <c r="AR12">
        <f t="shared" si="4"/>
        <v>0</v>
      </c>
      <c r="AS12">
        <f t="shared" si="4"/>
        <v>0</v>
      </c>
      <c r="AT12">
        <f t="shared" si="4"/>
        <v>0</v>
      </c>
      <c r="AU12">
        <f t="shared" si="4"/>
        <v>1</v>
      </c>
      <c r="AV12">
        <f t="shared" si="4"/>
        <v>0</v>
      </c>
      <c r="AW12">
        <f t="shared" si="5"/>
        <v>0</v>
      </c>
      <c r="AX12">
        <f t="shared" si="5"/>
        <v>0</v>
      </c>
      <c r="AY12">
        <f t="shared" si="5"/>
        <v>0</v>
      </c>
      <c r="AZ12">
        <f t="shared" si="5"/>
        <v>0</v>
      </c>
      <c r="BB12">
        <f t="shared" si="3"/>
        <v>1</v>
      </c>
    </row>
    <row r="13" spans="1:116">
      <c r="A13" s="81"/>
      <c r="B13" s="207" t="s">
        <v>34</v>
      </c>
      <c r="C13" s="207"/>
      <c r="D13" s="96"/>
      <c r="E13" s="96"/>
      <c r="F13" s="96"/>
      <c r="G13" s="96"/>
      <c r="H13" s="96"/>
      <c r="I13" s="96"/>
      <c r="J13" s="96"/>
      <c r="K13" s="96"/>
      <c r="L13" s="96"/>
      <c r="M13" s="96"/>
      <c r="N13" s="96"/>
      <c r="O13" s="96"/>
      <c r="P13" s="96"/>
      <c r="Q13" s="96"/>
      <c r="R13" s="96"/>
      <c r="S13" s="96"/>
      <c r="T13" s="96"/>
      <c r="U13" s="96"/>
      <c r="V13" s="96"/>
      <c r="W13" s="96"/>
      <c r="X13" s="86" t="str">
        <f t="shared" si="2"/>
        <v>Non-Evalauble</v>
      </c>
      <c r="Y13" s="85"/>
      <c r="AG13">
        <f t="shared" si="4"/>
        <v>0</v>
      </c>
      <c r="AH13">
        <f t="shared" si="4"/>
        <v>0</v>
      </c>
      <c r="AI13">
        <f t="shared" si="4"/>
        <v>0</v>
      </c>
      <c r="AJ13">
        <f t="shared" si="4"/>
        <v>0</v>
      </c>
      <c r="AK13">
        <f t="shared" si="4"/>
        <v>0</v>
      </c>
      <c r="AL13">
        <f t="shared" si="4"/>
        <v>0</v>
      </c>
      <c r="AM13">
        <f t="shared" si="4"/>
        <v>0</v>
      </c>
      <c r="AN13">
        <f t="shared" si="4"/>
        <v>0</v>
      </c>
      <c r="AO13">
        <f t="shared" si="4"/>
        <v>0</v>
      </c>
      <c r="AP13">
        <f t="shared" si="4"/>
        <v>0</v>
      </c>
      <c r="AQ13">
        <f t="shared" si="4"/>
        <v>0</v>
      </c>
      <c r="AR13">
        <f t="shared" si="4"/>
        <v>0</v>
      </c>
      <c r="AS13">
        <f t="shared" si="4"/>
        <v>0</v>
      </c>
      <c r="AT13">
        <f t="shared" si="4"/>
        <v>0</v>
      </c>
      <c r="AU13">
        <f t="shared" si="4"/>
        <v>0</v>
      </c>
      <c r="AV13">
        <f t="shared" si="4"/>
        <v>0</v>
      </c>
      <c r="AW13">
        <f t="shared" si="5"/>
        <v>0</v>
      </c>
      <c r="AX13">
        <f t="shared" si="5"/>
        <v>0</v>
      </c>
      <c r="AY13">
        <f t="shared" si="5"/>
        <v>0</v>
      </c>
      <c r="AZ13">
        <f t="shared" si="5"/>
        <v>0</v>
      </c>
      <c r="BB13">
        <f t="shared" si="3"/>
        <v>0</v>
      </c>
    </row>
    <row r="14" spans="1:116" ht="30.75" customHeight="1">
      <c r="A14" s="81"/>
      <c r="B14" s="206" t="s">
        <v>35</v>
      </c>
      <c r="C14" s="206"/>
      <c r="D14" s="96"/>
      <c r="E14" s="96"/>
      <c r="F14" s="96"/>
      <c r="G14" s="96"/>
      <c r="H14" s="96"/>
      <c r="I14" s="96"/>
      <c r="J14" s="96"/>
      <c r="K14" s="96"/>
      <c r="L14" s="96"/>
      <c r="M14" s="96"/>
      <c r="N14" s="96"/>
      <c r="O14" s="96"/>
      <c r="P14" s="96"/>
      <c r="Q14" s="96"/>
      <c r="R14" s="96"/>
      <c r="S14" s="96"/>
      <c r="T14" s="96"/>
      <c r="U14" s="96"/>
      <c r="V14" s="96"/>
      <c r="W14" s="96"/>
      <c r="X14" s="86" t="str">
        <f t="shared" si="2"/>
        <v>Non-Evalauble</v>
      </c>
      <c r="Y14" s="85"/>
      <c r="AG14">
        <f t="shared" si="4"/>
        <v>0</v>
      </c>
      <c r="AH14">
        <f t="shared" si="4"/>
        <v>0</v>
      </c>
      <c r="AI14">
        <f t="shared" si="4"/>
        <v>0</v>
      </c>
      <c r="AJ14">
        <f t="shared" si="4"/>
        <v>0</v>
      </c>
      <c r="AK14">
        <f t="shared" si="4"/>
        <v>0</v>
      </c>
      <c r="AL14">
        <f t="shared" si="4"/>
        <v>0</v>
      </c>
      <c r="AM14">
        <f t="shared" si="4"/>
        <v>0</v>
      </c>
      <c r="AN14">
        <f t="shared" si="4"/>
        <v>0</v>
      </c>
      <c r="AO14">
        <f t="shared" si="4"/>
        <v>0</v>
      </c>
      <c r="AP14">
        <f t="shared" si="4"/>
        <v>0</v>
      </c>
      <c r="AQ14">
        <f t="shared" si="4"/>
        <v>0</v>
      </c>
      <c r="AR14">
        <f t="shared" si="4"/>
        <v>0</v>
      </c>
      <c r="AS14">
        <f t="shared" si="4"/>
        <v>0</v>
      </c>
      <c r="AT14">
        <f t="shared" si="4"/>
        <v>0</v>
      </c>
      <c r="AU14">
        <f t="shared" si="4"/>
        <v>0</v>
      </c>
      <c r="AV14">
        <f t="shared" si="4"/>
        <v>0</v>
      </c>
      <c r="AW14">
        <f t="shared" si="5"/>
        <v>0</v>
      </c>
      <c r="AX14">
        <f t="shared" si="5"/>
        <v>0</v>
      </c>
      <c r="AY14">
        <f t="shared" si="5"/>
        <v>0</v>
      </c>
      <c r="AZ14">
        <f t="shared" si="5"/>
        <v>0</v>
      </c>
      <c r="BB14">
        <f t="shared" si="3"/>
        <v>0</v>
      </c>
    </row>
    <row r="15" spans="1:116" ht="15" customHeight="1">
      <c r="A15" s="97" t="s">
        <v>36</v>
      </c>
      <c r="B15" s="208" t="s">
        <v>37</v>
      </c>
      <c r="C15" s="208"/>
      <c r="D15" s="208"/>
      <c r="E15" s="208"/>
      <c r="F15" s="208"/>
      <c r="G15" s="208"/>
      <c r="H15" s="208"/>
      <c r="I15" s="208"/>
      <c r="J15" s="208"/>
      <c r="K15" s="208"/>
      <c r="L15" s="208"/>
      <c r="M15" s="208"/>
      <c r="N15" s="208"/>
      <c r="O15" s="208"/>
      <c r="P15" s="208"/>
      <c r="Q15" s="208"/>
      <c r="R15" s="208"/>
      <c r="S15" s="208"/>
      <c r="T15" s="208"/>
      <c r="U15" s="208"/>
      <c r="V15" s="208"/>
      <c r="W15" s="208"/>
      <c r="X15" s="105"/>
      <c r="Y15" s="85" t="str">
        <f>IF(SUM(BB16:BB18)&gt;0,"oui","Non")</f>
        <v>oui</v>
      </c>
      <c r="BC15">
        <f>IF(Y15="oui",1,0)</f>
        <v>1</v>
      </c>
    </row>
    <row r="16" spans="1:116" ht="29.25" customHeight="1">
      <c r="A16" s="83"/>
      <c r="B16" s="201" t="s">
        <v>38</v>
      </c>
      <c r="C16" s="202" t="s">
        <v>39</v>
      </c>
      <c r="D16" s="96"/>
      <c r="E16" s="96"/>
      <c r="F16" s="96"/>
      <c r="G16" s="96"/>
      <c r="H16" s="96"/>
      <c r="I16" s="96"/>
      <c r="J16" s="96"/>
      <c r="K16" s="96"/>
      <c r="L16" s="96"/>
      <c r="M16" s="96"/>
      <c r="N16" s="96"/>
      <c r="O16" s="96"/>
      <c r="P16" s="96"/>
      <c r="Q16" s="96"/>
      <c r="R16" s="96" t="s">
        <v>194</v>
      </c>
      <c r="S16" s="96"/>
      <c r="T16" s="96"/>
      <c r="U16" s="96"/>
      <c r="V16" s="96"/>
      <c r="W16" s="96"/>
      <c r="X16" s="86" t="str">
        <f t="shared" si="2"/>
        <v>Evaluable</v>
      </c>
      <c r="AG16">
        <f t="shared" si="4"/>
        <v>0</v>
      </c>
      <c r="AH16">
        <f t="shared" si="4"/>
        <v>0</v>
      </c>
      <c r="AI16">
        <f t="shared" si="4"/>
        <v>0</v>
      </c>
      <c r="AJ16">
        <f t="shared" si="4"/>
        <v>0</v>
      </c>
      <c r="AK16">
        <f t="shared" si="4"/>
        <v>0</v>
      </c>
      <c r="AL16">
        <f t="shared" si="4"/>
        <v>0</v>
      </c>
      <c r="AM16">
        <f t="shared" si="4"/>
        <v>0</v>
      </c>
      <c r="AN16">
        <f t="shared" si="4"/>
        <v>0</v>
      </c>
      <c r="AO16">
        <f t="shared" si="4"/>
        <v>0</v>
      </c>
      <c r="AP16">
        <f t="shared" si="4"/>
        <v>0</v>
      </c>
      <c r="AQ16">
        <f t="shared" si="4"/>
        <v>0</v>
      </c>
      <c r="AR16">
        <f t="shared" si="4"/>
        <v>0</v>
      </c>
      <c r="AS16">
        <f t="shared" si="4"/>
        <v>0</v>
      </c>
      <c r="AT16">
        <f t="shared" si="4"/>
        <v>0</v>
      </c>
      <c r="AU16">
        <f t="shared" si="4"/>
        <v>1</v>
      </c>
      <c r="AV16">
        <f t="shared" si="4"/>
        <v>0</v>
      </c>
      <c r="AW16">
        <f t="shared" si="5"/>
        <v>0</v>
      </c>
      <c r="AX16">
        <f t="shared" si="5"/>
        <v>0</v>
      </c>
      <c r="AY16">
        <f t="shared" si="5"/>
        <v>0</v>
      </c>
      <c r="AZ16">
        <f t="shared" si="5"/>
        <v>0</v>
      </c>
      <c r="BB16">
        <f t="shared" si="3"/>
        <v>1</v>
      </c>
    </row>
    <row r="17" spans="1:54" ht="29.25" customHeight="1">
      <c r="A17" s="83"/>
      <c r="B17" s="203" t="s">
        <v>40</v>
      </c>
      <c r="C17" s="204" t="s">
        <v>41</v>
      </c>
      <c r="D17" s="96"/>
      <c r="E17" s="96"/>
      <c r="F17" s="96"/>
      <c r="G17" s="96"/>
      <c r="H17" s="96"/>
      <c r="I17" s="96"/>
      <c r="J17" s="96"/>
      <c r="K17" s="96"/>
      <c r="L17" s="96"/>
      <c r="M17" s="96"/>
      <c r="N17" s="96"/>
      <c r="O17" s="96"/>
      <c r="P17" s="96"/>
      <c r="Q17" s="96"/>
      <c r="R17" s="96" t="s">
        <v>194</v>
      </c>
      <c r="S17" s="96"/>
      <c r="T17" s="96"/>
      <c r="U17" s="96"/>
      <c r="V17" s="96"/>
      <c r="W17" s="96"/>
      <c r="X17" s="86" t="str">
        <f t="shared" si="2"/>
        <v>Evaluable</v>
      </c>
      <c r="AG17">
        <f t="shared" si="4"/>
        <v>0</v>
      </c>
      <c r="AH17">
        <f t="shared" si="4"/>
        <v>0</v>
      </c>
      <c r="AI17">
        <f t="shared" si="4"/>
        <v>0</v>
      </c>
      <c r="AJ17">
        <f t="shared" si="4"/>
        <v>0</v>
      </c>
      <c r="AK17">
        <f t="shared" si="4"/>
        <v>0</v>
      </c>
      <c r="AL17">
        <f t="shared" si="4"/>
        <v>0</v>
      </c>
      <c r="AM17">
        <f t="shared" si="4"/>
        <v>0</v>
      </c>
      <c r="AN17">
        <f t="shared" si="4"/>
        <v>0</v>
      </c>
      <c r="AO17">
        <f t="shared" si="4"/>
        <v>0</v>
      </c>
      <c r="AP17">
        <f t="shared" si="4"/>
        <v>0</v>
      </c>
      <c r="AQ17">
        <f t="shared" si="4"/>
        <v>0</v>
      </c>
      <c r="AR17">
        <f t="shared" si="4"/>
        <v>0</v>
      </c>
      <c r="AS17">
        <f t="shared" si="4"/>
        <v>0</v>
      </c>
      <c r="AT17">
        <f t="shared" si="4"/>
        <v>0</v>
      </c>
      <c r="AU17">
        <f t="shared" si="4"/>
        <v>1</v>
      </c>
      <c r="AV17">
        <f t="shared" si="4"/>
        <v>0</v>
      </c>
      <c r="AW17">
        <f t="shared" si="5"/>
        <v>0</v>
      </c>
      <c r="AX17">
        <f t="shared" si="5"/>
        <v>0</v>
      </c>
      <c r="AY17">
        <f t="shared" si="5"/>
        <v>0</v>
      </c>
      <c r="AZ17">
        <f t="shared" si="5"/>
        <v>0</v>
      </c>
      <c r="BB17">
        <f t="shared" si="3"/>
        <v>1</v>
      </c>
    </row>
    <row r="18" spans="1:54" ht="17.25" customHeight="1">
      <c r="A18" s="84"/>
      <c r="B18" s="201" t="s">
        <v>42</v>
      </c>
      <c r="C18" s="202" t="s">
        <v>43</v>
      </c>
      <c r="D18" s="96"/>
      <c r="E18" s="96"/>
      <c r="F18" s="96"/>
      <c r="G18" s="96"/>
      <c r="H18" s="96"/>
      <c r="I18" s="96"/>
      <c r="J18" s="96"/>
      <c r="K18" s="96"/>
      <c r="L18" s="96"/>
      <c r="M18" s="96"/>
      <c r="N18" s="96"/>
      <c r="O18" s="96"/>
      <c r="P18" s="96"/>
      <c r="Q18" s="96"/>
      <c r="R18" s="96" t="s">
        <v>194</v>
      </c>
      <c r="S18" s="96"/>
      <c r="T18" s="96"/>
      <c r="U18" s="96"/>
      <c r="V18" s="96"/>
      <c r="W18" s="96"/>
      <c r="X18" s="86" t="str">
        <f t="shared" si="2"/>
        <v>Evaluable</v>
      </c>
      <c r="AG18">
        <f t="shared" si="4"/>
        <v>0</v>
      </c>
      <c r="AH18">
        <f t="shared" si="4"/>
        <v>0</v>
      </c>
      <c r="AI18">
        <f t="shared" si="4"/>
        <v>0</v>
      </c>
      <c r="AJ18">
        <f t="shared" si="4"/>
        <v>0</v>
      </c>
      <c r="AK18">
        <f t="shared" si="4"/>
        <v>0</v>
      </c>
      <c r="AL18">
        <f t="shared" si="4"/>
        <v>0</v>
      </c>
      <c r="AM18">
        <f t="shared" si="4"/>
        <v>0</v>
      </c>
      <c r="AN18">
        <f t="shared" si="4"/>
        <v>0</v>
      </c>
      <c r="AO18">
        <f t="shared" si="4"/>
        <v>0</v>
      </c>
      <c r="AP18">
        <f t="shared" si="4"/>
        <v>0</v>
      </c>
      <c r="AQ18">
        <f t="shared" si="4"/>
        <v>0</v>
      </c>
      <c r="AR18">
        <f t="shared" si="4"/>
        <v>0</v>
      </c>
      <c r="AS18">
        <f t="shared" si="4"/>
        <v>0</v>
      </c>
      <c r="AT18">
        <f t="shared" si="4"/>
        <v>0</v>
      </c>
      <c r="AU18">
        <f t="shared" si="4"/>
        <v>1</v>
      </c>
      <c r="AV18">
        <f t="shared" si="4"/>
        <v>0</v>
      </c>
      <c r="AW18">
        <f t="shared" si="5"/>
        <v>0</v>
      </c>
      <c r="AX18">
        <f t="shared" si="5"/>
        <v>0</v>
      </c>
      <c r="AY18">
        <f t="shared" si="5"/>
        <v>0</v>
      </c>
      <c r="AZ18">
        <f t="shared" si="5"/>
        <v>0</v>
      </c>
      <c r="BB18">
        <f t="shared" si="3"/>
        <v>1</v>
      </c>
    </row>
    <row r="19" spans="1:54" ht="15" customHeight="1">
      <c r="A19" s="80" t="s">
        <v>44</v>
      </c>
      <c r="B19" s="216" t="s">
        <v>45</v>
      </c>
      <c r="C19" s="217"/>
      <c r="D19" s="217"/>
      <c r="E19" s="217"/>
      <c r="F19" s="217"/>
      <c r="G19" s="217"/>
      <c r="H19" s="217"/>
      <c r="I19" s="217"/>
      <c r="J19" s="217"/>
      <c r="K19" s="217"/>
      <c r="L19" s="217"/>
      <c r="M19" s="217"/>
      <c r="N19" s="217"/>
      <c r="O19" s="217"/>
      <c r="P19" s="217"/>
      <c r="Q19" s="217"/>
      <c r="R19" s="217"/>
      <c r="S19" s="217"/>
      <c r="T19" s="217"/>
      <c r="U19" s="217"/>
      <c r="V19" s="217"/>
      <c r="W19" s="217"/>
      <c r="X19" s="105"/>
    </row>
    <row r="20" spans="1:54" ht="30" customHeight="1">
      <c r="A20" s="83"/>
      <c r="B20" s="201" t="s">
        <v>46</v>
      </c>
      <c r="C20" s="202" t="s">
        <v>47</v>
      </c>
      <c r="D20" s="96"/>
      <c r="E20" s="96"/>
      <c r="F20" s="96" t="s">
        <v>194</v>
      </c>
      <c r="G20" s="96"/>
      <c r="H20" s="96" t="s">
        <v>194</v>
      </c>
      <c r="I20" s="96"/>
      <c r="J20" s="96"/>
      <c r="K20" s="96"/>
      <c r="L20" s="96"/>
      <c r="M20" s="96"/>
      <c r="N20" s="96"/>
      <c r="O20" s="96"/>
      <c r="P20" s="96"/>
      <c r="Q20" s="96"/>
      <c r="R20" s="96"/>
      <c r="S20" s="96"/>
      <c r="T20" s="96"/>
      <c r="U20" s="96"/>
      <c r="V20" s="96"/>
      <c r="W20" s="96"/>
      <c r="X20" s="86" t="str">
        <f t="shared" si="2"/>
        <v>Evaluable</v>
      </c>
      <c r="AG20">
        <f t="shared" si="4"/>
        <v>0</v>
      </c>
      <c r="AH20">
        <f t="shared" si="4"/>
        <v>0</v>
      </c>
      <c r="AI20">
        <f t="shared" si="4"/>
        <v>1</v>
      </c>
      <c r="AJ20">
        <f t="shared" si="4"/>
        <v>0</v>
      </c>
      <c r="AK20">
        <f t="shared" si="4"/>
        <v>1</v>
      </c>
      <c r="AL20">
        <f t="shared" si="4"/>
        <v>0</v>
      </c>
      <c r="AM20">
        <f t="shared" si="4"/>
        <v>0</v>
      </c>
      <c r="AN20">
        <f t="shared" si="4"/>
        <v>0</v>
      </c>
      <c r="AO20">
        <f t="shared" si="4"/>
        <v>0</v>
      </c>
      <c r="AP20">
        <f t="shared" si="4"/>
        <v>0</v>
      </c>
      <c r="AQ20">
        <f t="shared" si="4"/>
        <v>0</v>
      </c>
      <c r="AR20">
        <f t="shared" si="4"/>
        <v>0</v>
      </c>
      <c r="AS20">
        <f t="shared" si="4"/>
        <v>0</v>
      </c>
      <c r="AT20">
        <f t="shared" si="4"/>
        <v>0</v>
      </c>
      <c r="AU20">
        <f t="shared" si="4"/>
        <v>0</v>
      </c>
      <c r="AV20">
        <f t="shared" si="4"/>
        <v>0</v>
      </c>
      <c r="AW20">
        <f t="shared" si="5"/>
        <v>0</v>
      </c>
      <c r="AX20">
        <f t="shared" si="5"/>
        <v>0</v>
      </c>
      <c r="AY20">
        <f t="shared" si="5"/>
        <v>0</v>
      </c>
      <c r="AZ20">
        <f t="shared" si="5"/>
        <v>0</v>
      </c>
      <c r="BB20">
        <f t="shared" si="3"/>
        <v>1</v>
      </c>
    </row>
    <row r="21" spans="1:54" ht="28.5" customHeight="1">
      <c r="A21" s="83"/>
      <c r="B21" s="203" t="s">
        <v>48</v>
      </c>
      <c r="C21" s="204" t="s">
        <v>41</v>
      </c>
      <c r="D21" s="96"/>
      <c r="E21" s="96"/>
      <c r="F21" s="96"/>
      <c r="G21" s="96"/>
      <c r="H21" s="96"/>
      <c r="I21" s="96"/>
      <c r="J21" s="96"/>
      <c r="K21" s="96"/>
      <c r="L21" s="96"/>
      <c r="M21" s="96"/>
      <c r="N21" s="96"/>
      <c r="O21" s="96"/>
      <c r="P21" s="96"/>
      <c r="Q21" s="96"/>
      <c r="R21" s="96"/>
      <c r="S21" s="96"/>
      <c r="T21" s="96"/>
      <c r="U21" s="96"/>
      <c r="V21" s="96"/>
      <c r="W21" s="96"/>
      <c r="X21" s="86" t="str">
        <f t="shared" si="2"/>
        <v>Non-Evalauble</v>
      </c>
      <c r="AG21">
        <f t="shared" si="4"/>
        <v>0</v>
      </c>
      <c r="AH21">
        <f t="shared" si="4"/>
        <v>0</v>
      </c>
      <c r="AI21">
        <f t="shared" si="4"/>
        <v>0</v>
      </c>
      <c r="AJ21">
        <f t="shared" si="4"/>
        <v>0</v>
      </c>
      <c r="AK21">
        <f t="shared" si="4"/>
        <v>0</v>
      </c>
      <c r="AL21">
        <f t="shared" si="4"/>
        <v>0</v>
      </c>
      <c r="AM21">
        <f t="shared" si="4"/>
        <v>0</v>
      </c>
      <c r="AN21">
        <f t="shared" si="4"/>
        <v>0</v>
      </c>
      <c r="AO21">
        <f t="shared" si="4"/>
        <v>0</v>
      </c>
      <c r="AP21">
        <f t="shared" si="4"/>
        <v>0</v>
      </c>
      <c r="AQ21">
        <f t="shared" si="4"/>
        <v>0</v>
      </c>
      <c r="AR21">
        <f t="shared" si="4"/>
        <v>0</v>
      </c>
      <c r="AS21">
        <f t="shared" si="4"/>
        <v>0</v>
      </c>
      <c r="AT21">
        <f t="shared" si="4"/>
        <v>0</v>
      </c>
      <c r="AU21">
        <f t="shared" si="4"/>
        <v>0</v>
      </c>
      <c r="AV21">
        <f t="shared" si="4"/>
        <v>0</v>
      </c>
      <c r="AW21">
        <f t="shared" si="5"/>
        <v>0</v>
      </c>
      <c r="AX21">
        <f t="shared" si="5"/>
        <v>0</v>
      </c>
      <c r="AY21">
        <f t="shared" si="5"/>
        <v>0</v>
      </c>
      <c r="AZ21">
        <f t="shared" si="5"/>
        <v>0</v>
      </c>
      <c r="BB21">
        <f t="shared" si="3"/>
        <v>0</v>
      </c>
    </row>
    <row r="23" spans="1:54" ht="18.75">
      <c r="D23" s="214" t="s">
        <v>85</v>
      </c>
      <c r="E23" s="214"/>
      <c r="F23" s="214"/>
      <c r="G23" s="214"/>
      <c r="H23" s="214"/>
      <c r="I23" s="214"/>
      <c r="J23" s="214"/>
      <c r="K23" s="214"/>
      <c r="L23" s="214"/>
      <c r="M23" s="214"/>
      <c r="N23" s="214"/>
      <c r="O23" s="214"/>
      <c r="P23" s="214"/>
      <c r="Q23" s="214"/>
      <c r="R23" s="214"/>
      <c r="S23" s="214"/>
      <c r="T23" s="213" t="str">
        <f>IF(SUM(BC4,BC7,BC11,BC15)=4,"OUI","NON")</f>
        <v>OUI</v>
      </c>
      <c r="U23" s="213"/>
      <c r="V23" s="213"/>
      <c r="W23" s="213"/>
      <c r="BB23">
        <f>SUM(BB5:BB18)</f>
        <v>9</v>
      </c>
    </row>
    <row r="25" spans="1:54" ht="18.75">
      <c r="D25" s="214" t="s">
        <v>86</v>
      </c>
      <c r="E25" s="214"/>
      <c r="F25" s="214"/>
      <c r="G25" s="214"/>
      <c r="H25" s="214"/>
      <c r="I25" s="214"/>
      <c r="J25" s="214"/>
      <c r="K25" s="214"/>
      <c r="L25" s="214"/>
      <c r="M25" s="214"/>
      <c r="N25" s="214"/>
      <c r="O25" s="214"/>
      <c r="P25" s="214"/>
      <c r="Q25" s="214"/>
      <c r="R25" s="214"/>
      <c r="S25" s="214"/>
      <c r="T25" s="213" t="str">
        <f>IF(BB23&gt;7,"OUI","NON")</f>
        <v>OUI</v>
      </c>
      <c r="U25" s="213"/>
      <c r="V25" s="213"/>
      <c r="W25" s="213"/>
    </row>
  </sheetData>
  <mergeCells count="25">
    <mergeCell ref="B12:C12"/>
    <mergeCell ref="D25:S25"/>
    <mergeCell ref="T25:W25"/>
    <mergeCell ref="B19:W19"/>
    <mergeCell ref="B20:C20"/>
    <mergeCell ref="B21:C21"/>
    <mergeCell ref="D23:S23"/>
    <mergeCell ref="T23:W23"/>
    <mergeCell ref="B13:C13"/>
    <mergeCell ref="B14:C14"/>
    <mergeCell ref="B15:W15"/>
    <mergeCell ref="B16:C16"/>
    <mergeCell ref="B17:C17"/>
    <mergeCell ref="B18:C18"/>
    <mergeCell ref="B7:W7"/>
    <mergeCell ref="B8:C8"/>
    <mergeCell ref="B9:C9"/>
    <mergeCell ref="B10:C10"/>
    <mergeCell ref="B11:W11"/>
    <mergeCell ref="A3:B3"/>
    <mergeCell ref="B4:W4"/>
    <mergeCell ref="B5:C5"/>
    <mergeCell ref="B6:C6"/>
    <mergeCell ref="A1:B1"/>
    <mergeCell ref="A2:B2"/>
  </mergeCells>
  <conditionalFormatting sqref="X4:X21">
    <cfRule type="cellIs" dxfId="35" priority="1" operator="equal">
      <formula>"Non-Evaluable"</formula>
    </cfRule>
    <cfRule type="cellIs" dxfId="34" priority="2" operator="equal">
      <formula>"Evaluable"</formula>
    </cfRule>
    <cfRule type="cellIs" dxfId="33" priority="17" operator="equal">
      <formula>"Non-Evaluable"</formula>
    </cfRule>
    <cfRule type="cellIs" dxfId="32" priority="18" operator="equal">
      <formula>"Evaluable"</formula>
    </cfRule>
    <cfRule type="colorScale" priority="19">
      <colorScale>
        <cfvo type="min"/>
        <cfvo type="percentile" val="50"/>
        <cfvo type="max"/>
        <color rgb="FFF8696B"/>
        <color rgb="FFFFEB84"/>
        <color rgb="FF63BE7B"/>
      </colorScale>
    </cfRule>
    <cfRule type="containsText" dxfId="31" priority="20" operator="containsText" text="Non">
      <formula>NOT(ISERROR(SEARCH("Non",X4)))</formula>
    </cfRule>
    <cfRule type="containsText" dxfId="30" priority="21" operator="containsText" text="Evalauble">
      <formula>NOT(ISERROR(SEARCH("Evalauble",X4)))</formula>
    </cfRule>
    <cfRule type="containsText" dxfId="29" priority="22" operator="containsText" text="Non">
      <formula>NOT(ISERROR(SEARCH("Non",X4)))</formula>
    </cfRule>
    <cfRule type="containsText" dxfId="28" priority="23" operator="containsText" text="Evaluable">
      <formula>NOT(ISERROR(SEARCH("Evaluable",X4)))</formula>
    </cfRule>
    <cfRule type="containsText" dxfId="27" priority="24" operator="containsText" text="Non-Evalauble">
      <formula>NOT(ISERROR(SEARCH("Non-Evalauble",X4)))</formula>
    </cfRule>
  </conditionalFormatting>
  <conditionalFormatting sqref="X5:X21">
    <cfRule type="containsText" dxfId="26" priority="16" operator="containsText" text="Evaluable">
      <formula>NOT(ISERROR(SEARCH("Evaluable",X5)))</formula>
    </cfRule>
  </conditionalFormatting>
  <conditionalFormatting sqref="T23:W23">
    <cfRule type="containsText" dxfId="25" priority="14" operator="containsText" text="NON">
      <formula>NOT(ISERROR(SEARCH("NON",T23)))</formula>
    </cfRule>
    <cfRule type="cellIs" dxfId="24" priority="15" operator="equal">
      <formula>"OUI"</formula>
    </cfRule>
  </conditionalFormatting>
  <conditionalFormatting sqref="T25:W25">
    <cfRule type="containsText" dxfId="23" priority="12" operator="containsText" text="NON">
      <formula>NOT(ISERROR(SEARCH("NON",T25)))</formula>
    </cfRule>
    <cfRule type="cellIs" dxfId="22" priority="13" operator="equal">
      <formula>"OUI"</formula>
    </cfRule>
  </conditionalFormatting>
  <conditionalFormatting sqref="X5:X6">
    <cfRule type="cellIs" dxfId="21" priority="4" operator="equal">
      <formula>"Non-Evaluable"</formula>
    </cfRule>
    <cfRule type="cellIs" dxfId="20" priority="5" operator="equal">
      <formula>"Evaluable"</formula>
    </cfRule>
    <cfRule type="colorScale" priority="6">
      <colorScale>
        <cfvo type="min"/>
        <cfvo type="percentile" val="50"/>
        <cfvo type="max"/>
        <color rgb="FFF8696B"/>
        <color rgb="FFFFEB84"/>
        <color rgb="FF63BE7B"/>
      </colorScale>
    </cfRule>
    <cfRule type="containsText" dxfId="19" priority="7" operator="containsText" text="Non">
      <formula>NOT(ISERROR(SEARCH("Non",X5)))</formula>
    </cfRule>
    <cfRule type="containsText" dxfId="18" priority="8" operator="containsText" text="Evalauble">
      <formula>NOT(ISERROR(SEARCH("Evalauble",X5)))</formula>
    </cfRule>
    <cfRule type="containsText" dxfId="17" priority="9" operator="containsText" text="Non">
      <formula>NOT(ISERROR(SEARCH("Non",X5)))</formula>
    </cfRule>
    <cfRule type="containsText" dxfId="16" priority="10" operator="containsText" text="Evaluable">
      <formula>NOT(ISERROR(SEARCH("Evaluable",X5)))</formula>
    </cfRule>
    <cfRule type="containsText" dxfId="15" priority="11" operator="containsText" text="Non-Evalauble">
      <formula>NOT(ISERROR(SEARCH("Non-Evalauble",X5)))</formula>
    </cfRule>
  </conditionalFormatting>
  <conditionalFormatting sqref="X5:X6">
    <cfRule type="containsText" dxfId="14" priority="3" operator="containsText" text="Evaluable">
      <formula>NOT(ISERROR(SEARCH("Evaluable",X5)))</formula>
    </cfRule>
  </conditionalFormatting>
  <pageMargins left="0.7" right="0.7" top="0.75" bottom="0.75" header="0.3" footer="0.3"/>
  <pageSetup paperSize="9" orientation="landscape" horizontalDpi="12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ransposition_ElB">
                <anchor moveWithCells="1" sizeWithCells="1">
                  <from>
                    <xdr:col>2</xdr:col>
                    <xdr:colOff>4562475</xdr:colOff>
                    <xdr:row>2</xdr:row>
                    <xdr:rowOff>390525</xdr:rowOff>
                  </from>
                  <to>
                    <xdr:col>2</xdr:col>
                    <xdr:colOff>6410325</xdr:colOff>
                    <xdr:row>2</xdr:row>
                    <xdr:rowOff>1247775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DL25"/>
  <sheetViews>
    <sheetView workbookViewId="0">
      <selection activeCell="AA8" sqref="AA8"/>
    </sheetView>
  </sheetViews>
  <sheetFormatPr baseColWidth="10" defaultRowHeight="15"/>
  <cols>
    <col min="3" max="3" width="103.7109375" customWidth="1"/>
    <col min="4" max="19" width="3" bestFit="1" customWidth="1"/>
    <col min="20" max="23" width="3" customWidth="1"/>
    <col min="24" max="24" width="14.140625" bestFit="1" customWidth="1"/>
    <col min="25" max="32" width="11.42578125" customWidth="1"/>
    <col min="33" max="55" width="11.42578125" hidden="1" customWidth="1"/>
    <col min="56" max="169" width="11.42578125" customWidth="1"/>
  </cols>
  <sheetData>
    <row r="1" spans="1:116" ht="33.75" customHeight="1">
      <c r="A1" s="200" t="s">
        <v>50</v>
      </c>
      <c r="B1" s="200"/>
      <c r="C1" s="100" t="str">
        <f>Synthèse!D23</f>
        <v>Nom3</v>
      </c>
    </row>
    <row r="2" spans="1:116" ht="30" customHeight="1">
      <c r="A2" s="200" t="s">
        <v>56</v>
      </c>
      <c r="B2" s="200"/>
      <c r="C2" s="100" t="str">
        <f>Synthèse!E23</f>
        <v>Prénom3</v>
      </c>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2"/>
      <c r="DK2" s="72"/>
      <c r="DL2" s="72"/>
    </row>
    <row r="3" spans="1:116" ht="234.75" customHeight="1">
      <c r="A3" s="215"/>
      <c r="B3" s="215"/>
      <c r="C3" s="98"/>
      <c r="D3" s="149" t="s">
        <v>204</v>
      </c>
      <c r="E3" s="149" t="s">
        <v>196</v>
      </c>
      <c r="F3" s="149" t="s">
        <v>197</v>
      </c>
      <c r="G3" s="149" t="s">
        <v>55</v>
      </c>
      <c r="H3" s="149" t="s">
        <v>55</v>
      </c>
      <c r="I3" s="149" t="s">
        <v>215</v>
      </c>
      <c r="J3" s="149" t="s">
        <v>55</v>
      </c>
      <c r="K3" s="149"/>
      <c r="L3" s="149" t="s">
        <v>55</v>
      </c>
      <c r="M3" s="149" t="s">
        <v>55</v>
      </c>
      <c r="N3" s="149" t="s">
        <v>203</v>
      </c>
      <c r="O3" s="149" t="s">
        <v>55</v>
      </c>
      <c r="P3" s="149" t="s">
        <v>55</v>
      </c>
      <c r="Q3" s="149"/>
      <c r="R3" s="149" t="s">
        <v>205</v>
      </c>
      <c r="S3" s="149"/>
      <c r="T3" s="149"/>
      <c r="U3" s="149"/>
      <c r="V3" s="149"/>
      <c r="W3" s="149"/>
      <c r="Y3" s="99"/>
    </row>
    <row r="4" spans="1:116" ht="15" customHeight="1">
      <c r="A4" s="80" t="s">
        <v>22</v>
      </c>
      <c r="B4" s="216" t="s">
        <v>23</v>
      </c>
      <c r="C4" s="217"/>
      <c r="D4" s="217"/>
      <c r="E4" s="217"/>
      <c r="F4" s="217"/>
      <c r="G4" s="217"/>
      <c r="H4" s="217"/>
      <c r="I4" s="217"/>
      <c r="J4" s="217"/>
      <c r="K4" s="217"/>
      <c r="L4" s="217"/>
      <c r="M4" s="217"/>
      <c r="N4" s="217"/>
      <c r="O4" s="217"/>
      <c r="P4" s="217"/>
      <c r="Q4" s="217"/>
      <c r="R4" s="217"/>
      <c r="S4" s="217"/>
      <c r="T4" s="217"/>
      <c r="U4" s="217"/>
      <c r="V4" s="217"/>
      <c r="W4" s="217"/>
      <c r="X4" s="105"/>
      <c r="Y4" s="85" t="str">
        <f>IF(SUM(BB5:BB6)&gt;0,"oui","Non")</f>
        <v>oui</v>
      </c>
      <c r="BC4">
        <f>IF(Y4="oui",1,0)</f>
        <v>1</v>
      </c>
    </row>
    <row r="5" spans="1:116" ht="24.75" customHeight="1">
      <c r="A5" s="81"/>
      <c r="B5" s="201" t="s">
        <v>24</v>
      </c>
      <c r="C5" s="205"/>
      <c r="D5" s="96"/>
      <c r="E5" s="96"/>
      <c r="F5" s="96"/>
      <c r="G5" s="96"/>
      <c r="H5" s="96"/>
      <c r="I5" s="96"/>
      <c r="J5" s="96"/>
      <c r="K5" s="96"/>
      <c r="L5" s="96"/>
      <c r="M5" s="96"/>
      <c r="N5" s="96"/>
      <c r="O5" s="96"/>
      <c r="P5" s="96"/>
      <c r="Q5" s="96"/>
      <c r="R5" s="96" t="s">
        <v>194</v>
      </c>
      <c r="S5" s="96"/>
      <c r="T5" s="96"/>
      <c r="U5" s="96"/>
      <c r="V5" s="96"/>
      <c r="W5" s="96"/>
      <c r="X5" s="86" t="str">
        <f>IF(BB5=1,"Evaluable","Non-Evalauble")</f>
        <v>Evaluable</v>
      </c>
      <c r="Y5" s="85"/>
      <c r="AG5">
        <f t="shared" ref="AG5:AP6" si="0">IF(D5="",0,1)</f>
        <v>0</v>
      </c>
      <c r="AH5">
        <f t="shared" si="0"/>
        <v>0</v>
      </c>
      <c r="AI5">
        <f t="shared" si="0"/>
        <v>0</v>
      </c>
      <c r="AJ5">
        <f t="shared" si="0"/>
        <v>0</v>
      </c>
      <c r="AK5">
        <f t="shared" si="0"/>
        <v>0</v>
      </c>
      <c r="AL5">
        <f t="shared" si="0"/>
        <v>0</v>
      </c>
      <c r="AM5">
        <f t="shared" si="0"/>
        <v>0</v>
      </c>
      <c r="AN5">
        <f t="shared" si="0"/>
        <v>0</v>
      </c>
      <c r="AO5">
        <f t="shared" si="0"/>
        <v>0</v>
      </c>
      <c r="AP5">
        <f t="shared" si="0"/>
        <v>0</v>
      </c>
      <c r="AQ5">
        <f t="shared" ref="AQ5:AZ6" si="1">IF(N5="",0,1)</f>
        <v>0</v>
      </c>
      <c r="AR5">
        <f t="shared" si="1"/>
        <v>0</v>
      </c>
      <c r="AS5">
        <f t="shared" si="1"/>
        <v>0</v>
      </c>
      <c r="AT5">
        <f t="shared" si="1"/>
        <v>0</v>
      </c>
      <c r="AU5">
        <f t="shared" si="1"/>
        <v>1</v>
      </c>
      <c r="AV5">
        <f t="shared" si="1"/>
        <v>0</v>
      </c>
      <c r="AW5">
        <f t="shared" si="1"/>
        <v>0</v>
      </c>
      <c r="AX5">
        <f t="shared" si="1"/>
        <v>0</v>
      </c>
      <c r="AY5">
        <f t="shared" si="1"/>
        <v>0</v>
      </c>
      <c r="AZ5">
        <f t="shared" si="1"/>
        <v>0</v>
      </c>
      <c r="BB5">
        <f>IF(SUM(AG5:AZ5)&gt;0,1,0)</f>
        <v>1</v>
      </c>
    </row>
    <row r="6" spans="1:116" ht="44.25" customHeight="1">
      <c r="A6" s="81"/>
      <c r="B6" s="209" t="s">
        <v>25</v>
      </c>
      <c r="C6" s="209"/>
      <c r="D6" s="96"/>
      <c r="E6" s="96" t="s">
        <v>194</v>
      </c>
      <c r="F6" s="96" t="s">
        <v>194</v>
      </c>
      <c r="G6" s="96"/>
      <c r="H6" s="96"/>
      <c r="I6" s="96"/>
      <c r="J6" s="96"/>
      <c r="K6" s="96"/>
      <c r="L6" s="96"/>
      <c r="M6" s="96"/>
      <c r="N6" s="96"/>
      <c r="O6" s="96"/>
      <c r="P6" s="96"/>
      <c r="Q6" s="96" t="s">
        <v>194</v>
      </c>
      <c r="R6" s="96"/>
      <c r="S6" s="96"/>
      <c r="T6" s="96"/>
      <c r="U6" s="96"/>
      <c r="V6" s="96"/>
      <c r="W6" s="96"/>
      <c r="X6" s="86" t="str">
        <f t="shared" ref="X6:X21" si="2">IF(BB6=1,"Evaluable","Non-Evalauble")</f>
        <v>Evaluable</v>
      </c>
      <c r="Y6" s="85"/>
      <c r="AG6">
        <f t="shared" si="0"/>
        <v>0</v>
      </c>
      <c r="AH6">
        <f t="shared" si="0"/>
        <v>1</v>
      </c>
      <c r="AI6">
        <f t="shared" si="0"/>
        <v>1</v>
      </c>
      <c r="AJ6">
        <f t="shared" si="0"/>
        <v>0</v>
      </c>
      <c r="AK6">
        <f t="shared" si="0"/>
        <v>0</v>
      </c>
      <c r="AL6">
        <f t="shared" si="0"/>
        <v>0</v>
      </c>
      <c r="AM6">
        <f t="shared" si="0"/>
        <v>0</v>
      </c>
      <c r="AN6">
        <f t="shared" si="0"/>
        <v>0</v>
      </c>
      <c r="AO6">
        <f t="shared" si="0"/>
        <v>0</v>
      </c>
      <c r="AP6">
        <f t="shared" si="0"/>
        <v>0</v>
      </c>
      <c r="AQ6">
        <f t="shared" si="1"/>
        <v>0</v>
      </c>
      <c r="AR6">
        <f t="shared" si="1"/>
        <v>0</v>
      </c>
      <c r="AS6">
        <f t="shared" si="1"/>
        <v>0</v>
      </c>
      <c r="AT6">
        <f t="shared" si="1"/>
        <v>1</v>
      </c>
      <c r="AU6">
        <f t="shared" si="1"/>
        <v>0</v>
      </c>
      <c r="AV6">
        <f t="shared" si="1"/>
        <v>0</v>
      </c>
      <c r="AW6">
        <f t="shared" si="1"/>
        <v>0</v>
      </c>
      <c r="AX6">
        <f t="shared" si="1"/>
        <v>0</v>
      </c>
      <c r="AY6">
        <f t="shared" si="1"/>
        <v>0</v>
      </c>
      <c r="AZ6">
        <f t="shared" si="1"/>
        <v>0</v>
      </c>
      <c r="BB6">
        <f t="shared" ref="BB6:BB21" si="3">IF(SUM(AG6:AZ6)&gt;0,1,0)</f>
        <v>1</v>
      </c>
    </row>
    <row r="7" spans="1:116" ht="15" customHeight="1">
      <c r="A7" s="82" t="s">
        <v>26</v>
      </c>
      <c r="B7" s="216" t="s">
        <v>27</v>
      </c>
      <c r="C7" s="217"/>
      <c r="D7" s="217"/>
      <c r="E7" s="217"/>
      <c r="F7" s="217"/>
      <c r="G7" s="217"/>
      <c r="H7" s="217"/>
      <c r="I7" s="217"/>
      <c r="J7" s="217"/>
      <c r="K7" s="217"/>
      <c r="L7" s="217"/>
      <c r="M7" s="217"/>
      <c r="N7" s="217"/>
      <c r="O7" s="217"/>
      <c r="P7" s="217"/>
      <c r="Q7" s="217"/>
      <c r="R7" s="217"/>
      <c r="S7" s="217"/>
      <c r="T7" s="217"/>
      <c r="U7" s="217"/>
      <c r="V7" s="217"/>
      <c r="W7" s="217"/>
      <c r="X7" s="105"/>
      <c r="Y7" s="85" t="str">
        <f>IF(SUM(BB8:BB10)&gt;0,"oui","Non")</f>
        <v>oui</v>
      </c>
      <c r="BC7">
        <f>IF(Y7="oui",1,0)</f>
        <v>1</v>
      </c>
    </row>
    <row r="8" spans="1:116">
      <c r="A8" s="83"/>
      <c r="B8" s="210" t="s">
        <v>28</v>
      </c>
      <c r="C8" s="211"/>
      <c r="D8" s="96"/>
      <c r="E8" s="96"/>
      <c r="F8" s="96"/>
      <c r="G8" s="96"/>
      <c r="H8" s="96"/>
      <c r="I8" s="96" t="s">
        <v>194</v>
      </c>
      <c r="J8" s="96" t="s">
        <v>194</v>
      </c>
      <c r="K8" s="96"/>
      <c r="L8" s="96"/>
      <c r="M8" s="96"/>
      <c r="N8" s="96" t="s">
        <v>194</v>
      </c>
      <c r="O8" s="96"/>
      <c r="P8" s="96"/>
      <c r="Q8" s="96"/>
      <c r="R8" s="96"/>
      <c r="S8" s="96"/>
      <c r="T8" s="96"/>
      <c r="U8" s="96"/>
      <c r="V8" s="96"/>
      <c r="W8" s="96"/>
      <c r="X8" s="86" t="str">
        <f t="shared" si="2"/>
        <v>Evaluable</v>
      </c>
      <c r="Y8" s="85"/>
      <c r="AG8">
        <f t="shared" ref="AG8:AV21" si="4">IF(D8="",0,1)</f>
        <v>0</v>
      </c>
      <c r="AH8">
        <f t="shared" si="4"/>
        <v>0</v>
      </c>
      <c r="AI8">
        <f t="shared" si="4"/>
        <v>0</v>
      </c>
      <c r="AJ8">
        <f t="shared" si="4"/>
        <v>0</v>
      </c>
      <c r="AK8">
        <f t="shared" si="4"/>
        <v>0</v>
      </c>
      <c r="AL8">
        <f t="shared" si="4"/>
        <v>1</v>
      </c>
      <c r="AM8">
        <f t="shared" si="4"/>
        <v>1</v>
      </c>
      <c r="AN8">
        <f t="shared" si="4"/>
        <v>0</v>
      </c>
      <c r="AO8">
        <f t="shared" si="4"/>
        <v>0</v>
      </c>
      <c r="AP8">
        <f t="shared" si="4"/>
        <v>0</v>
      </c>
      <c r="AQ8">
        <f t="shared" si="4"/>
        <v>1</v>
      </c>
      <c r="AR8">
        <f t="shared" si="4"/>
        <v>0</v>
      </c>
      <c r="AS8">
        <f t="shared" si="4"/>
        <v>0</v>
      </c>
      <c r="AT8">
        <f t="shared" si="4"/>
        <v>0</v>
      </c>
      <c r="AU8">
        <f t="shared" si="4"/>
        <v>0</v>
      </c>
      <c r="AV8">
        <f t="shared" si="4"/>
        <v>0</v>
      </c>
      <c r="AW8">
        <f t="shared" ref="AW8:AZ21" si="5">IF(T8="",0,1)</f>
        <v>0</v>
      </c>
      <c r="AX8">
        <f t="shared" si="5"/>
        <v>0</v>
      </c>
      <c r="AY8">
        <f t="shared" si="5"/>
        <v>0</v>
      </c>
      <c r="AZ8">
        <f t="shared" si="5"/>
        <v>0</v>
      </c>
      <c r="BB8">
        <f t="shared" si="3"/>
        <v>1</v>
      </c>
    </row>
    <row r="9" spans="1:116" ht="30.75" customHeight="1">
      <c r="A9" s="81"/>
      <c r="B9" s="203" t="s">
        <v>29</v>
      </c>
      <c r="C9" s="212"/>
      <c r="D9" s="96"/>
      <c r="E9" s="96"/>
      <c r="F9" s="96"/>
      <c r="G9" s="96"/>
      <c r="H9" s="96"/>
      <c r="I9" s="96" t="s">
        <v>194</v>
      </c>
      <c r="J9" s="96" t="s">
        <v>194</v>
      </c>
      <c r="K9" s="96"/>
      <c r="L9" s="96"/>
      <c r="M9" s="96"/>
      <c r="N9" s="96" t="s">
        <v>194</v>
      </c>
      <c r="O9" s="96"/>
      <c r="P9" s="96"/>
      <c r="Q9" s="96"/>
      <c r="R9" s="96"/>
      <c r="S9" s="96"/>
      <c r="T9" s="96"/>
      <c r="U9" s="96"/>
      <c r="V9" s="96"/>
      <c r="W9" s="96"/>
      <c r="X9" s="86" t="str">
        <f t="shared" si="2"/>
        <v>Evaluable</v>
      </c>
      <c r="Y9" s="85"/>
      <c r="AG9">
        <f t="shared" si="4"/>
        <v>0</v>
      </c>
      <c r="AH9">
        <f t="shared" si="4"/>
        <v>0</v>
      </c>
      <c r="AI9">
        <f t="shared" si="4"/>
        <v>0</v>
      </c>
      <c r="AJ9">
        <f t="shared" si="4"/>
        <v>0</v>
      </c>
      <c r="AK9">
        <f t="shared" si="4"/>
        <v>0</v>
      </c>
      <c r="AL9">
        <f t="shared" si="4"/>
        <v>1</v>
      </c>
      <c r="AM9">
        <f t="shared" si="4"/>
        <v>1</v>
      </c>
      <c r="AN9">
        <f t="shared" si="4"/>
        <v>0</v>
      </c>
      <c r="AO9">
        <f t="shared" si="4"/>
        <v>0</v>
      </c>
      <c r="AP9">
        <f t="shared" si="4"/>
        <v>0</v>
      </c>
      <c r="AQ9">
        <f t="shared" si="4"/>
        <v>1</v>
      </c>
      <c r="AR9">
        <f t="shared" si="4"/>
        <v>0</v>
      </c>
      <c r="AS9">
        <f t="shared" si="4"/>
        <v>0</v>
      </c>
      <c r="AT9">
        <f t="shared" si="4"/>
        <v>0</v>
      </c>
      <c r="AU9">
        <f t="shared" si="4"/>
        <v>0</v>
      </c>
      <c r="AV9">
        <f t="shared" si="4"/>
        <v>0</v>
      </c>
      <c r="AW9">
        <f t="shared" si="5"/>
        <v>0</v>
      </c>
      <c r="AX9">
        <f t="shared" si="5"/>
        <v>0</v>
      </c>
      <c r="AY9">
        <f t="shared" si="5"/>
        <v>0</v>
      </c>
      <c r="AZ9">
        <f t="shared" si="5"/>
        <v>0</v>
      </c>
      <c r="BB9">
        <f t="shared" si="3"/>
        <v>1</v>
      </c>
    </row>
    <row r="10" spans="1:116" ht="30" customHeight="1">
      <c r="A10" s="81"/>
      <c r="B10" s="201" t="s">
        <v>30</v>
      </c>
      <c r="C10" s="205"/>
      <c r="D10" s="96"/>
      <c r="E10" s="96" t="s">
        <v>194</v>
      </c>
      <c r="F10" s="96" t="s">
        <v>194</v>
      </c>
      <c r="G10" s="96"/>
      <c r="H10" s="96"/>
      <c r="I10" s="96" t="s">
        <v>194</v>
      </c>
      <c r="J10" s="96" t="s">
        <v>194</v>
      </c>
      <c r="K10" s="96"/>
      <c r="L10" s="96"/>
      <c r="M10" s="96"/>
      <c r="N10" s="96" t="s">
        <v>194</v>
      </c>
      <c r="O10" s="96"/>
      <c r="P10" s="96"/>
      <c r="Q10" s="96" t="s">
        <v>194</v>
      </c>
      <c r="R10" s="96"/>
      <c r="S10" s="96"/>
      <c r="T10" s="96"/>
      <c r="U10" s="96"/>
      <c r="V10" s="96"/>
      <c r="W10" s="96"/>
      <c r="X10" s="86" t="str">
        <f t="shared" si="2"/>
        <v>Evaluable</v>
      </c>
      <c r="Y10" s="85"/>
      <c r="AG10">
        <f t="shared" si="4"/>
        <v>0</v>
      </c>
      <c r="AH10">
        <f t="shared" si="4"/>
        <v>1</v>
      </c>
      <c r="AI10">
        <f t="shared" si="4"/>
        <v>1</v>
      </c>
      <c r="AJ10">
        <f t="shared" si="4"/>
        <v>0</v>
      </c>
      <c r="AK10">
        <f t="shared" si="4"/>
        <v>0</v>
      </c>
      <c r="AL10">
        <f t="shared" si="4"/>
        <v>1</v>
      </c>
      <c r="AM10">
        <f t="shared" si="4"/>
        <v>1</v>
      </c>
      <c r="AN10">
        <f t="shared" si="4"/>
        <v>0</v>
      </c>
      <c r="AO10">
        <f t="shared" si="4"/>
        <v>0</v>
      </c>
      <c r="AP10">
        <f t="shared" si="4"/>
        <v>0</v>
      </c>
      <c r="AQ10">
        <f t="shared" si="4"/>
        <v>1</v>
      </c>
      <c r="AR10">
        <f t="shared" si="4"/>
        <v>0</v>
      </c>
      <c r="AS10">
        <f t="shared" si="4"/>
        <v>0</v>
      </c>
      <c r="AT10">
        <f t="shared" si="4"/>
        <v>1</v>
      </c>
      <c r="AU10">
        <f t="shared" si="4"/>
        <v>0</v>
      </c>
      <c r="AV10">
        <f t="shared" si="4"/>
        <v>0</v>
      </c>
      <c r="AW10">
        <f t="shared" si="5"/>
        <v>0</v>
      </c>
      <c r="AX10">
        <f t="shared" si="5"/>
        <v>0</v>
      </c>
      <c r="AY10">
        <f t="shared" si="5"/>
        <v>0</v>
      </c>
      <c r="AZ10">
        <f t="shared" si="5"/>
        <v>0</v>
      </c>
      <c r="BB10">
        <f t="shared" si="3"/>
        <v>1</v>
      </c>
    </row>
    <row r="11" spans="1:116" ht="15" customHeight="1">
      <c r="A11" s="80" t="s">
        <v>31</v>
      </c>
      <c r="B11" s="216" t="s">
        <v>32</v>
      </c>
      <c r="C11" s="217"/>
      <c r="D11" s="217"/>
      <c r="E11" s="217"/>
      <c r="F11" s="217"/>
      <c r="G11" s="217"/>
      <c r="H11" s="217"/>
      <c r="I11" s="217"/>
      <c r="J11" s="217"/>
      <c r="K11" s="217"/>
      <c r="L11" s="217"/>
      <c r="M11" s="217"/>
      <c r="N11" s="217"/>
      <c r="O11" s="217"/>
      <c r="P11" s="217"/>
      <c r="Q11" s="217"/>
      <c r="R11" s="217"/>
      <c r="S11" s="217"/>
      <c r="T11" s="217"/>
      <c r="U11" s="217"/>
      <c r="V11" s="217"/>
      <c r="W11" s="217"/>
      <c r="X11" s="105"/>
      <c r="Y11" s="85" t="str">
        <f>IF(SUM(BB12:BB14)&gt;0,"oui","Non")</f>
        <v>oui</v>
      </c>
      <c r="AE11" s="98"/>
      <c r="BC11">
        <f>IF(Y11="oui",1,0)</f>
        <v>1</v>
      </c>
    </row>
    <row r="12" spans="1:116" ht="17.25" customHeight="1">
      <c r="A12" s="81"/>
      <c r="B12" s="206" t="s">
        <v>33</v>
      </c>
      <c r="C12" s="206"/>
      <c r="D12" s="96" t="s">
        <v>194</v>
      </c>
      <c r="E12" s="96" t="s">
        <v>194</v>
      </c>
      <c r="F12" s="96" t="s">
        <v>194</v>
      </c>
      <c r="G12" s="96"/>
      <c r="H12" s="96"/>
      <c r="I12" s="96"/>
      <c r="J12" s="96"/>
      <c r="K12" s="96"/>
      <c r="L12" s="96"/>
      <c r="M12" s="96"/>
      <c r="N12" s="96"/>
      <c r="O12" s="96"/>
      <c r="P12" s="96"/>
      <c r="Q12" s="96" t="s">
        <v>194</v>
      </c>
      <c r="R12" s="96"/>
      <c r="S12" s="96"/>
      <c r="T12" s="96"/>
      <c r="U12" s="96"/>
      <c r="V12" s="96"/>
      <c r="W12" s="96"/>
      <c r="X12" s="86" t="str">
        <f t="shared" si="2"/>
        <v>Evaluable</v>
      </c>
      <c r="Y12" s="85"/>
      <c r="AG12">
        <f t="shared" si="4"/>
        <v>1</v>
      </c>
      <c r="AH12">
        <f t="shared" si="4"/>
        <v>1</v>
      </c>
      <c r="AI12">
        <f t="shared" si="4"/>
        <v>1</v>
      </c>
      <c r="AJ12">
        <f t="shared" si="4"/>
        <v>0</v>
      </c>
      <c r="AK12">
        <f t="shared" si="4"/>
        <v>0</v>
      </c>
      <c r="AL12">
        <f t="shared" si="4"/>
        <v>0</v>
      </c>
      <c r="AM12">
        <f t="shared" si="4"/>
        <v>0</v>
      </c>
      <c r="AN12">
        <f t="shared" si="4"/>
        <v>0</v>
      </c>
      <c r="AO12">
        <f t="shared" si="4"/>
        <v>0</v>
      </c>
      <c r="AP12">
        <f t="shared" si="4"/>
        <v>0</v>
      </c>
      <c r="AQ12">
        <f t="shared" si="4"/>
        <v>0</v>
      </c>
      <c r="AR12">
        <f t="shared" si="4"/>
        <v>0</v>
      </c>
      <c r="AS12">
        <f t="shared" si="4"/>
        <v>0</v>
      </c>
      <c r="AT12">
        <f t="shared" si="4"/>
        <v>1</v>
      </c>
      <c r="AU12">
        <f t="shared" si="4"/>
        <v>0</v>
      </c>
      <c r="AV12">
        <f t="shared" si="4"/>
        <v>0</v>
      </c>
      <c r="AW12">
        <f t="shared" si="5"/>
        <v>0</v>
      </c>
      <c r="AX12">
        <f t="shared" si="5"/>
        <v>0</v>
      </c>
      <c r="AY12">
        <f t="shared" si="5"/>
        <v>0</v>
      </c>
      <c r="AZ12">
        <f t="shared" si="5"/>
        <v>0</v>
      </c>
      <c r="BB12">
        <f t="shared" si="3"/>
        <v>1</v>
      </c>
    </row>
    <row r="13" spans="1:116">
      <c r="A13" s="81"/>
      <c r="B13" s="207" t="s">
        <v>34</v>
      </c>
      <c r="C13" s="207"/>
      <c r="D13" s="96"/>
      <c r="E13" s="96"/>
      <c r="F13" s="96"/>
      <c r="G13" s="96"/>
      <c r="H13" s="96"/>
      <c r="I13" s="96"/>
      <c r="J13" s="96"/>
      <c r="K13" s="96"/>
      <c r="L13" s="96"/>
      <c r="M13" s="96"/>
      <c r="N13" s="96"/>
      <c r="O13" s="96"/>
      <c r="P13" s="96"/>
      <c r="Q13" s="96"/>
      <c r="R13" s="96"/>
      <c r="S13" s="96"/>
      <c r="T13" s="96"/>
      <c r="U13" s="96"/>
      <c r="V13" s="96"/>
      <c r="W13" s="96"/>
      <c r="X13" s="86" t="str">
        <f t="shared" si="2"/>
        <v>Non-Evalauble</v>
      </c>
      <c r="Y13" s="85"/>
      <c r="AG13">
        <f t="shared" si="4"/>
        <v>0</v>
      </c>
      <c r="AH13">
        <f t="shared" si="4"/>
        <v>0</v>
      </c>
      <c r="AI13">
        <f t="shared" si="4"/>
        <v>0</v>
      </c>
      <c r="AJ13">
        <f t="shared" si="4"/>
        <v>0</v>
      </c>
      <c r="AK13">
        <f t="shared" si="4"/>
        <v>0</v>
      </c>
      <c r="AL13">
        <f t="shared" si="4"/>
        <v>0</v>
      </c>
      <c r="AM13">
        <f t="shared" si="4"/>
        <v>0</v>
      </c>
      <c r="AN13">
        <f t="shared" si="4"/>
        <v>0</v>
      </c>
      <c r="AO13">
        <f t="shared" si="4"/>
        <v>0</v>
      </c>
      <c r="AP13">
        <f t="shared" si="4"/>
        <v>0</v>
      </c>
      <c r="AQ13">
        <f t="shared" si="4"/>
        <v>0</v>
      </c>
      <c r="AR13">
        <f t="shared" si="4"/>
        <v>0</v>
      </c>
      <c r="AS13">
        <f t="shared" si="4"/>
        <v>0</v>
      </c>
      <c r="AT13">
        <f t="shared" si="4"/>
        <v>0</v>
      </c>
      <c r="AU13">
        <f t="shared" si="4"/>
        <v>0</v>
      </c>
      <c r="AV13">
        <f t="shared" si="4"/>
        <v>0</v>
      </c>
      <c r="AW13">
        <f t="shared" si="5"/>
        <v>0</v>
      </c>
      <c r="AX13">
        <f t="shared" si="5"/>
        <v>0</v>
      </c>
      <c r="AY13">
        <f t="shared" si="5"/>
        <v>0</v>
      </c>
      <c r="AZ13">
        <f t="shared" si="5"/>
        <v>0</v>
      </c>
      <c r="BB13">
        <f t="shared" si="3"/>
        <v>0</v>
      </c>
    </row>
    <row r="14" spans="1:116" ht="30.75" customHeight="1">
      <c r="A14" s="81"/>
      <c r="B14" s="206" t="s">
        <v>35</v>
      </c>
      <c r="C14" s="206"/>
      <c r="D14" s="96"/>
      <c r="E14" s="96"/>
      <c r="F14" s="96"/>
      <c r="G14" s="96"/>
      <c r="H14" s="96"/>
      <c r="I14" s="96"/>
      <c r="J14" s="96"/>
      <c r="K14" s="96"/>
      <c r="L14" s="96"/>
      <c r="M14" s="96"/>
      <c r="N14" s="96"/>
      <c r="O14" s="96"/>
      <c r="P14" s="96"/>
      <c r="Q14" s="96"/>
      <c r="R14" s="96"/>
      <c r="S14" s="96"/>
      <c r="T14" s="96"/>
      <c r="U14" s="96"/>
      <c r="V14" s="96"/>
      <c r="W14" s="96"/>
      <c r="X14" s="86" t="str">
        <f t="shared" si="2"/>
        <v>Non-Evalauble</v>
      </c>
      <c r="Y14" s="85"/>
      <c r="AG14">
        <f t="shared" si="4"/>
        <v>0</v>
      </c>
      <c r="AH14">
        <f t="shared" si="4"/>
        <v>0</v>
      </c>
      <c r="AI14">
        <f t="shared" si="4"/>
        <v>0</v>
      </c>
      <c r="AJ14">
        <f t="shared" si="4"/>
        <v>0</v>
      </c>
      <c r="AK14">
        <f t="shared" si="4"/>
        <v>0</v>
      </c>
      <c r="AL14">
        <f t="shared" si="4"/>
        <v>0</v>
      </c>
      <c r="AM14">
        <f t="shared" si="4"/>
        <v>0</v>
      </c>
      <c r="AN14">
        <f t="shared" si="4"/>
        <v>0</v>
      </c>
      <c r="AO14">
        <f t="shared" si="4"/>
        <v>0</v>
      </c>
      <c r="AP14">
        <f t="shared" si="4"/>
        <v>0</v>
      </c>
      <c r="AQ14">
        <f t="shared" si="4"/>
        <v>0</v>
      </c>
      <c r="AR14">
        <f t="shared" si="4"/>
        <v>0</v>
      </c>
      <c r="AS14">
        <f t="shared" si="4"/>
        <v>0</v>
      </c>
      <c r="AT14">
        <f t="shared" si="4"/>
        <v>0</v>
      </c>
      <c r="AU14">
        <f t="shared" si="4"/>
        <v>0</v>
      </c>
      <c r="AV14">
        <f t="shared" si="4"/>
        <v>0</v>
      </c>
      <c r="AW14">
        <f t="shared" si="5"/>
        <v>0</v>
      </c>
      <c r="AX14">
        <f t="shared" si="5"/>
        <v>0</v>
      </c>
      <c r="AY14">
        <f t="shared" si="5"/>
        <v>0</v>
      </c>
      <c r="AZ14">
        <f t="shared" si="5"/>
        <v>0</v>
      </c>
      <c r="BB14">
        <f t="shared" si="3"/>
        <v>0</v>
      </c>
    </row>
    <row r="15" spans="1:116" ht="15" customHeight="1">
      <c r="A15" s="97" t="s">
        <v>36</v>
      </c>
      <c r="B15" s="208" t="s">
        <v>37</v>
      </c>
      <c r="C15" s="208"/>
      <c r="D15" s="208"/>
      <c r="E15" s="208"/>
      <c r="F15" s="208"/>
      <c r="G15" s="208"/>
      <c r="H15" s="208"/>
      <c r="I15" s="208"/>
      <c r="J15" s="208"/>
      <c r="K15" s="208"/>
      <c r="L15" s="208"/>
      <c r="M15" s="208"/>
      <c r="N15" s="208"/>
      <c r="O15" s="208"/>
      <c r="P15" s="208"/>
      <c r="Q15" s="208"/>
      <c r="R15" s="208"/>
      <c r="S15" s="208"/>
      <c r="T15" s="208"/>
      <c r="U15" s="208"/>
      <c r="V15" s="208"/>
      <c r="W15" s="208"/>
      <c r="X15" s="105"/>
      <c r="Y15" s="85" t="str">
        <f>IF(SUM(BB16:BB18)&gt;0,"oui","Non")</f>
        <v>oui</v>
      </c>
      <c r="BC15">
        <f>IF(Y15="oui",1,0)</f>
        <v>1</v>
      </c>
    </row>
    <row r="16" spans="1:116" ht="29.25" customHeight="1">
      <c r="A16" s="83"/>
      <c r="B16" s="201" t="s">
        <v>38</v>
      </c>
      <c r="C16" s="202" t="s">
        <v>39</v>
      </c>
      <c r="D16" s="96"/>
      <c r="E16" s="96"/>
      <c r="F16" s="96"/>
      <c r="G16" s="96"/>
      <c r="H16" s="96"/>
      <c r="I16" s="96"/>
      <c r="J16" s="96"/>
      <c r="K16" s="96"/>
      <c r="L16" s="96"/>
      <c r="M16" s="96"/>
      <c r="N16" s="96"/>
      <c r="O16" s="96"/>
      <c r="P16" s="96"/>
      <c r="Q16" s="96"/>
      <c r="R16" s="96" t="s">
        <v>194</v>
      </c>
      <c r="S16" s="96"/>
      <c r="T16" s="96"/>
      <c r="U16" s="96"/>
      <c r="V16" s="96"/>
      <c r="W16" s="96"/>
      <c r="X16" s="86" t="str">
        <f t="shared" si="2"/>
        <v>Evaluable</v>
      </c>
      <c r="AG16">
        <f t="shared" si="4"/>
        <v>0</v>
      </c>
      <c r="AH16">
        <f t="shared" si="4"/>
        <v>0</v>
      </c>
      <c r="AI16">
        <f t="shared" si="4"/>
        <v>0</v>
      </c>
      <c r="AJ16">
        <f t="shared" si="4"/>
        <v>0</v>
      </c>
      <c r="AK16">
        <f t="shared" si="4"/>
        <v>0</v>
      </c>
      <c r="AL16">
        <f t="shared" si="4"/>
        <v>0</v>
      </c>
      <c r="AM16">
        <f t="shared" si="4"/>
        <v>0</v>
      </c>
      <c r="AN16">
        <f t="shared" si="4"/>
        <v>0</v>
      </c>
      <c r="AO16">
        <f t="shared" si="4"/>
        <v>0</v>
      </c>
      <c r="AP16">
        <f t="shared" si="4"/>
        <v>0</v>
      </c>
      <c r="AQ16">
        <f t="shared" si="4"/>
        <v>0</v>
      </c>
      <c r="AR16">
        <f t="shared" si="4"/>
        <v>0</v>
      </c>
      <c r="AS16">
        <f t="shared" si="4"/>
        <v>0</v>
      </c>
      <c r="AT16">
        <f t="shared" si="4"/>
        <v>0</v>
      </c>
      <c r="AU16">
        <f t="shared" si="4"/>
        <v>1</v>
      </c>
      <c r="AV16">
        <f t="shared" si="4"/>
        <v>0</v>
      </c>
      <c r="AW16">
        <f t="shared" si="5"/>
        <v>0</v>
      </c>
      <c r="AX16">
        <f t="shared" si="5"/>
        <v>0</v>
      </c>
      <c r="AY16">
        <f t="shared" si="5"/>
        <v>0</v>
      </c>
      <c r="AZ16">
        <f t="shared" si="5"/>
        <v>0</v>
      </c>
      <c r="BB16">
        <f t="shared" si="3"/>
        <v>1</v>
      </c>
    </row>
    <row r="17" spans="1:54" ht="29.25" customHeight="1">
      <c r="A17" s="83"/>
      <c r="B17" s="203" t="s">
        <v>40</v>
      </c>
      <c r="C17" s="204" t="s">
        <v>41</v>
      </c>
      <c r="D17" s="96"/>
      <c r="E17" s="96"/>
      <c r="F17" s="96"/>
      <c r="G17" s="96"/>
      <c r="H17" s="96"/>
      <c r="I17" s="96"/>
      <c r="J17" s="96"/>
      <c r="K17" s="96"/>
      <c r="L17" s="96"/>
      <c r="M17" s="96"/>
      <c r="N17" s="96"/>
      <c r="O17" s="96"/>
      <c r="P17" s="96"/>
      <c r="Q17" s="96"/>
      <c r="R17" s="96" t="s">
        <v>194</v>
      </c>
      <c r="S17" s="96"/>
      <c r="T17" s="96"/>
      <c r="U17" s="96"/>
      <c r="V17" s="96"/>
      <c r="W17" s="96"/>
      <c r="X17" s="86" t="str">
        <f t="shared" si="2"/>
        <v>Evaluable</v>
      </c>
      <c r="AG17">
        <f t="shared" si="4"/>
        <v>0</v>
      </c>
      <c r="AH17">
        <f t="shared" si="4"/>
        <v>0</v>
      </c>
      <c r="AI17">
        <f t="shared" si="4"/>
        <v>0</v>
      </c>
      <c r="AJ17">
        <f t="shared" si="4"/>
        <v>0</v>
      </c>
      <c r="AK17">
        <f t="shared" si="4"/>
        <v>0</v>
      </c>
      <c r="AL17">
        <f t="shared" si="4"/>
        <v>0</v>
      </c>
      <c r="AM17">
        <f t="shared" si="4"/>
        <v>0</v>
      </c>
      <c r="AN17">
        <f t="shared" si="4"/>
        <v>0</v>
      </c>
      <c r="AO17">
        <f t="shared" si="4"/>
        <v>0</v>
      </c>
      <c r="AP17">
        <f t="shared" si="4"/>
        <v>0</v>
      </c>
      <c r="AQ17">
        <f t="shared" si="4"/>
        <v>0</v>
      </c>
      <c r="AR17">
        <f t="shared" si="4"/>
        <v>0</v>
      </c>
      <c r="AS17">
        <f t="shared" si="4"/>
        <v>0</v>
      </c>
      <c r="AT17">
        <f t="shared" si="4"/>
        <v>0</v>
      </c>
      <c r="AU17">
        <f t="shared" si="4"/>
        <v>1</v>
      </c>
      <c r="AV17">
        <f t="shared" si="4"/>
        <v>0</v>
      </c>
      <c r="AW17">
        <f t="shared" si="5"/>
        <v>0</v>
      </c>
      <c r="AX17">
        <f t="shared" si="5"/>
        <v>0</v>
      </c>
      <c r="AY17">
        <f t="shared" si="5"/>
        <v>0</v>
      </c>
      <c r="AZ17">
        <f t="shared" si="5"/>
        <v>0</v>
      </c>
      <c r="BB17">
        <f t="shared" si="3"/>
        <v>1</v>
      </c>
    </row>
    <row r="18" spans="1:54" ht="17.25" customHeight="1">
      <c r="A18" s="84"/>
      <c r="B18" s="201" t="s">
        <v>42</v>
      </c>
      <c r="C18" s="202" t="s">
        <v>43</v>
      </c>
      <c r="D18" s="96"/>
      <c r="E18" s="96"/>
      <c r="F18" s="96"/>
      <c r="G18" s="96"/>
      <c r="H18" s="96"/>
      <c r="I18" s="96"/>
      <c r="J18" s="96"/>
      <c r="K18" s="96"/>
      <c r="L18" s="96"/>
      <c r="M18" s="96"/>
      <c r="N18" s="96"/>
      <c r="O18" s="96"/>
      <c r="P18" s="96"/>
      <c r="Q18" s="96"/>
      <c r="R18" s="96" t="s">
        <v>194</v>
      </c>
      <c r="S18" s="96"/>
      <c r="T18" s="96"/>
      <c r="U18" s="96"/>
      <c r="V18" s="96"/>
      <c r="W18" s="96"/>
      <c r="X18" s="86" t="str">
        <f t="shared" si="2"/>
        <v>Evaluable</v>
      </c>
      <c r="AG18">
        <f t="shared" si="4"/>
        <v>0</v>
      </c>
      <c r="AH18">
        <f t="shared" si="4"/>
        <v>0</v>
      </c>
      <c r="AI18">
        <f t="shared" si="4"/>
        <v>0</v>
      </c>
      <c r="AJ18">
        <f t="shared" si="4"/>
        <v>0</v>
      </c>
      <c r="AK18">
        <f t="shared" si="4"/>
        <v>0</v>
      </c>
      <c r="AL18">
        <f t="shared" si="4"/>
        <v>0</v>
      </c>
      <c r="AM18">
        <f t="shared" si="4"/>
        <v>0</v>
      </c>
      <c r="AN18">
        <f t="shared" si="4"/>
        <v>0</v>
      </c>
      <c r="AO18">
        <f t="shared" si="4"/>
        <v>0</v>
      </c>
      <c r="AP18">
        <f t="shared" si="4"/>
        <v>0</v>
      </c>
      <c r="AQ18">
        <f t="shared" si="4"/>
        <v>0</v>
      </c>
      <c r="AR18">
        <f t="shared" si="4"/>
        <v>0</v>
      </c>
      <c r="AS18">
        <f t="shared" si="4"/>
        <v>0</v>
      </c>
      <c r="AT18">
        <f t="shared" si="4"/>
        <v>0</v>
      </c>
      <c r="AU18">
        <f t="shared" si="4"/>
        <v>1</v>
      </c>
      <c r="AV18">
        <f t="shared" si="4"/>
        <v>0</v>
      </c>
      <c r="AW18">
        <f t="shared" si="5"/>
        <v>0</v>
      </c>
      <c r="AX18">
        <f t="shared" si="5"/>
        <v>0</v>
      </c>
      <c r="AY18">
        <f t="shared" si="5"/>
        <v>0</v>
      </c>
      <c r="AZ18">
        <f t="shared" si="5"/>
        <v>0</v>
      </c>
      <c r="BB18">
        <f t="shared" si="3"/>
        <v>1</v>
      </c>
    </row>
    <row r="19" spans="1:54" ht="15" customHeight="1">
      <c r="A19" s="80" t="s">
        <v>44</v>
      </c>
      <c r="B19" s="216" t="s">
        <v>45</v>
      </c>
      <c r="C19" s="217"/>
      <c r="D19" s="217"/>
      <c r="E19" s="217"/>
      <c r="F19" s="217"/>
      <c r="G19" s="217"/>
      <c r="H19" s="217"/>
      <c r="I19" s="217"/>
      <c r="J19" s="217"/>
      <c r="K19" s="217"/>
      <c r="L19" s="217"/>
      <c r="M19" s="217"/>
      <c r="N19" s="217"/>
      <c r="O19" s="217"/>
      <c r="P19" s="217"/>
      <c r="Q19" s="217"/>
      <c r="R19" s="217"/>
      <c r="S19" s="217"/>
      <c r="T19" s="217"/>
      <c r="U19" s="217"/>
      <c r="V19" s="217"/>
      <c r="W19" s="217"/>
      <c r="X19" s="105"/>
    </row>
    <row r="20" spans="1:54" ht="30" customHeight="1">
      <c r="A20" s="83"/>
      <c r="B20" s="201" t="s">
        <v>46</v>
      </c>
      <c r="C20" s="202" t="s">
        <v>47</v>
      </c>
      <c r="D20" s="96"/>
      <c r="E20" s="96"/>
      <c r="F20" s="96"/>
      <c r="G20" s="96"/>
      <c r="H20" s="96"/>
      <c r="I20" s="96"/>
      <c r="J20" s="96"/>
      <c r="K20" s="96"/>
      <c r="L20" s="96"/>
      <c r="M20" s="96"/>
      <c r="N20" s="96"/>
      <c r="O20" s="96"/>
      <c r="P20" s="96"/>
      <c r="Q20" s="96"/>
      <c r="R20" s="96"/>
      <c r="S20" s="96"/>
      <c r="T20" s="96"/>
      <c r="U20" s="96"/>
      <c r="V20" s="96"/>
      <c r="W20" s="96"/>
      <c r="X20" s="86" t="str">
        <f t="shared" si="2"/>
        <v>Non-Evalauble</v>
      </c>
      <c r="AG20">
        <f t="shared" si="4"/>
        <v>0</v>
      </c>
      <c r="AH20">
        <f t="shared" si="4"/>
        <v>0</v>
      </c>
      <c r="AI20">
        <f t="shared" si="4"/>
        <v>0</v>
      </c>
      <c r="AJ20">
        <f t="shared" si="4"/>
        <v>0</v>
      </c>
      <c r="AK20">
        <f t="shared" si="4"/>
        <v>0</v>
      </c>
      <c r="AL20">
        <f t="shared" si="4"/>
        <v>0</v>
      </c>
      <c r="AM20">
        <f t="shared" si="4"/>
        <v>0</v>
      </c>
      <c r="AN20">
        <f t="shared" si="4"/>
        <v>0</v>
      </c>
      <c r="AO20">
        <f t="shared" si="4"/>
        <v>0</v>
      </c>
      <c r="AP20">
        <f t="shared" si="4"/>
        <v>0</v>
      </c>
      <c r="AQ20">
        <f t="shared" si="4"/>
        <v>0</v>
      </c>
      <c r="AR20">
        <f t="shared" si="4"/>
        <v>0</v>
      </c>
      <c r="AS20">
        <f t="shared" si="4"/>
        <v>0</v>
      </c>
      <c r="AT20">
        <f t="shared" si="4"/>
        <v>0</v>
      </c>
      <c r="AU20">
        <f t="shared" si="4"/>
        <v>0</v>
      </c>
      <c r="AV20">
        <f t="shared" si="4"/>
        <v>0</v>
      </c>
      <c r="AW20">
        <f t="shared" si="5"/>
        <v>0</v>
      </c>
      <c r="AX20">
        <f t="shared" si="5"/>
        <v>0</v>
      </c>
      <c r="AY20">
        <f t="shared" si="5"/>
        <v>0</v>
      </c>
      <c r="AZ20">
        <f t="shared" si="5"/>
        <v>0</v>
      </c>
      <c r="BB20">
        <f t="shared" si="3"/>
        <v>0</v>
      </c>
    </row>
    <row r="21" spans="1:54" ht="28.5" customHeight="1">
      <c r="A21" s="83"/>
      <c r="B21" s="203" t="s">
        <v>48</v>
      </c>
      <c r="C21" s="204" t="s">
        <v>41</v>
      </c>
      <c r="D21" s="96"/>
      <c r="E21" s="96"/>
      <c r="F21" s="96"/>
      <c r="G21" s="96"/>
      <c r="H21" s="96"/>
      <c r="I21" s="96"/>
      <c r="J21" s="96"/>
      <c r="K21" s="96"/>
      <c r="L21" s="96"/>
      <c r="M21" s="96"/>
      <c r="N21" s="96"/>
      <c r="O21" s="96"/>
      <c r="P21" s="96"/>
      <c r="Q21" s="96"/>
      <c r="R21" s="96"/>
      <c r="S21" s="96"/>
      <c r="T21" s="96"/>
      <c r="U21" s="96"/>
      <c r="V21" s="96"/>
      <c r="W21" s="96"/>
      <c r="X21" s="86" t="str">
        <f t="shared" si="2"/>
        <v>Non-Evalauble</v>
      </c>
      <c r="AG21">
        <f t="shared" si="4"/>
        <v>0</v>
      </c>
      <c r="AH21">
        <f t="shared" si="4"/>
        <v>0</v>
      </c>
      <c r="AI21">
        <f t="shared" si="4"/>
        <v>0</v>
      </c>
      <c r="AJ21">
        <f t="shared" si="4"/>
        <v>0</v>
      </c>
      <c r="AK21">
        <f t="shared" si="4"/>
        <v>0</v>
      </c>
      <c r="AL21">
        <f t="shared" si="4"/>
        <v>0</v>
      </c>
      <c r="AM21">
        <f t="shared" si="4"/>
        <v>0</v>
      </c>
      <c r="AN21">
        <f t="shared" si="4"/>
        <v>0</v>
      </c>
      <c r="AO21">
        <f t="shared" si="4"/>
        <v>0</v>
      </c>
      <c r="AP21">
        <f t="shared" si="4"/>
        <v>0</v>
      </c>
      <c r="AQ21">
        <f t="shared" si="4"/>
        <v>0</v>
      </c>
      <c r="AR21">
        <f t="shared" si="4"/>
        <v>0</v>
      </c>
      <c r="AS21">
        <f t="shared" si="4"/>
        <v>0</v>
      </c>
      <c r="AT21">
        <f t="shared" si="4"/>
        <v>0</v>
      </c>
      <c r="AU21">
        <f t="shared" si="4"/>
        <v>0</v>
      </c>
      <c r="AV21">
        <f t="shared" si="4"/>
        <v>0</v>
      </c>
      <c r="AW21">
        <f t="shared" si="5"/>
        <v>0</v>
      </c>
      <c r="AX21">
        <f t="shared" si="5"/>
        <v>0</v>
      </c>
      <c r="AY21">
        <f t="shared" si="5"/>
        <v>0</v>
      </c>
      <c r="AZ21">
        <f t="shared" si="5"/>
        <v>0</v>
      </c>
      <c r="BB21">
        <f t="shared" si="3"/>
        <v>0</v>
      </c>
    </row>
    <row r="23" spans="1:54" ht="18.75">
      <c r="D23" s="214" t="s">
        <v>85</v>
      </c>
      <c r="E23" s="214"/>
      <c r="F23" s="214"/>
      <c r="G23" s="214"/>
      <c r="H23" s="214"/>
      <c r="I23" s="214"/>
      <c r="J23" s="214"/>
      <c r="K23" s="214"/>
      <c r="L23" s="214"/>
      <c r="M23" s="214"/>
      <c r="N23" s="214"/>
      <c r="O23" s="214"/>
      <c r="P23" s="214"/>
      <c r="Q23" s="214"/>
      <c r="R23" s="214"/>
      <c r="S23" s="214"/>
      <c r="T23" s="213" t="str">
        <f>IF(SUM(BC4,BC7,BC11,BC15)=4,"OUI","NON")</f>
        <v>OUI</v>
      </c>
      <c r="U23" s="213"/>
      <c r="V23" s="213"/>
      <c r="W23" s="213"/>
      <c r="BB23">
        <f>SUM(BB5:BB18)</f>
        <v>9</v>
      </c>
    </row>
    <row r="25" spans="1:54" ht="18.75">
      <c r="D25" s="214" t="s">
        <v>86</v>
      </c>
      <c r="E25" s="214"/>
      <c r="F25" s="214"/>
      <c r="G25" s="214"/>
      <c r="H25" s="214"/>
      <c r="I25" s="214"/>
      <c r="J25" s="214"/>
      <c r="K25" s="214"/>
      <c r="L25" s="214"/>
      <c r="M25" s="214"/>
      <c r="N25" s="214"/>
      <c r="O25" s="214"/>
      <c r="P25" s="214"/>
      <c r="Q25" s="214"/>
      <c r="R25" s="214"/>
      <c r="S25" s="214"/>
      <c r="T25" s="213" t="str">
        <f>IF(BB23&gt;7,"OUI","NON")</f>
        <v>OUI</v>
      </c>
      <c r="U25" s="213"/>
      <c r="V25" s="213"/>
      <c r="W25" s="213"/>
    </row>
  </sheetData>
  <mergeCells count="25">
    <mergeCell ref="B12:C12"/>
    <mergeCell ref="D25:S25"/>
    <mergeCell ref="T25:W25"/>
    <mergeCell ref="B19:W19"/>
    <mergeCell ref="B20:C20"/>
    <mergeCell ref="B21:C21"/>
    <mergeCell ref="D23:S23"/>
    <mergeCell ref="T23:W23"/>
    <mergeCell ref="B13:C13"/>
    <mergeCell ref="B14:C14"/>
    <mergeCell ref="B15:W15"/>
    <mergeCell ref="B16:C16"/>
    <mergeCell ref="B17:C17"/>
    <mergeCell ref="B18:C18"/>
    <mergeCell ref="B7:W7"/>
    <mergeCell ref="B8:C8"/>
    <mergeCell ref="B9:C9"/>
    <mergeCell ref="B10:C10"/>
    <mergeCell ref="B11:W11"/>
    <mergeCell ref="A3:B3"/>
    <mergeCell ref="B4:W4"/>
    <mergeCell ref="B5:C5"/>
    <mergeCell ref="B6:C6"/>
    <mergeCell ref="A1:B1"/>
    <mergeCell ref="A2:B2"/>
  </mergeCells>
  <conditionalFormatting sqref="X4:X21">
    <cfRule type="cellIs" dxfId="13" priority="1" operator="equal">
      <formula>"Non-Evaluable"</formula>
    </cfRule>
    <cfRule type="cellIs" dxfId="12" priority="2" operator="equal">
      <formula>"Evaluable"</formula>
    </cfRule>
    <cfRule type="cellIs" dxfId="11" priority="8" operator="equal">
      <formula>"Non-Evaluable"</formula>
    </cfRule>
    <cfRule type="cellIs" dxfId="10" priority="9" operator="equal">
      <formula>"Evaluable"</formula>
    </cfRule>
    <cfRule type="colorScale" priority="10">
      <colorScale>
        <cfvo type="min"/>
        <cfvo type="percentile" val="50"/>
        <cfvo type="max"/>
        <color rgb="FFF8696B"/>
        <color rgb="FFFFEB84"/>
        <color rgb="FF63BE7B"/>
      </colorScale>
    </cfRule>
    <cfRule type="containsText" dxfId="9" priority="11" operator="containsText" text="Non">
      <formula>NOT(ISERROR(SEARCH("Non",X4)))</formula>
    </cfRule>
    <cfRule type="containsText" dxfId="8" priority="12" operator="containsText" text="Evalauble">
      <formula>NOT(ISERROR(SEARCH("Evalauble",X4)))</formula>
    </cfRule>
    <cfRule type="containsText" dxfId="7" priority="13" operator="containsText" text="Non">
      <formula>NOT(ISERROR(SEARCH("Non",X4)))</formula>
    </cfRule>
    <cfRule type="containsText" dxfId="6" priority="14" operator="containsText" text="Evaluable">
      <formula>NOT(ISERROR(SEARCH("Evaluable",X4)))</formula>
    </cfRule>
    <cfRule type="containsText" dxfId="5" priority="15" operator="containsText" text="Non-Evalauble">
      <formula>NOT(ISERROR(SEARCH("Non-Evalauble",X4)))</formula>
    </cfRule>
  </conditionalFormatting>
  <conditionalFormatting sqref="X5:X21">
    <cfRule type="containsText" dxfId="4" priority="7" operator="containsText" text="Evaluable">
      <formula>NOT(ISERROR(SEARCH("Evaluable",X5)))</formula>
    </cfRule>
  </conditionalFormatting>
  <conditionalFormatting sqref="T23:W23">
    <cfRule type="containsText" dxfId="3" priority="5" operator="containsText" text="NON">
      <formula>NOT(ISERROR(SEARCH("NON",T23)))</formula>
    </cfRule>
    <cfRule type="cellIs" dxfId="2" priority="6" operator="equal">
      <formula>"OUI"</formula>
    </cfRule>
  </conditionalFormatting>
  <conditionalFormatting sqref="T25:W25">
    <cfRule type="containsText" dxfId="1" priority="3" operator="containsText" text="NON">
      <formula>NOT(ISERROR(SEARCH("NON",T25)))</formula>
    </cfRule>
    <cfRule type="cellIs" dxfId="0" priority="4" operator="equal">
      <formula>"OUI"</formula>
    </cfRule>
  </conditionalFormatting>
  <pageMargins left="0.7" right="0.7" top="0.75" bottom="0.75" header="0.3" footer="0.3"/>
  <pageSetup paperSize="9" orientation="landscape" horizontalDpi="12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Transposition_ElC">
                <anchor moveWithCells="1" sizeWithCells="1">
                  <from>
                    <xdr:col>2</xdr:col>
                    <xdr:colOff>4562475</xdr:colOff>
                    <xdr:row>2</xdr:row>
                    <xdr:rowOff>390525</xdr:rowOff>
                  </from>
                  <to>
                    <xdr:col>2</xdr:col>
                    <xdr:colOff>6410325</xdr:colOff>
                    <xdr:row>2</xdr:row>
                    <xdr:rowOff>1247775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FF00"/>
    <pageSetUpPr fitToPage="1"/>
  </sheetPr>
  <dimension ref="A1:C48"/>
  <sheetViews>
    <sheetView workbookViewId="0"/>
  </sheetViews>
  <sheetFormatPr baseColWidth="10" defaultColWidth="10.85546875" defaultRowHeight="15.75"/>
  <cols>
    <col min="1" max="1" width="6.7109375" style="126" customWidth="1"/>
    <col min="2" max="2" width="120.85546875" style="127" customWidth="1"/>
    <col min="3" max="3" width="60.140625" style="127" customWidth="1"/>
    <col min="4" max="16384" width="10.85546875" style="131"/>
  </cols>
  <sheetData>
    <row r="1" spans="1:2" ht="39.950000000000003" customHeight="1">
      <c r="B1" s="142" t="s">
        <v>190</v>
      </c>
    </row>
    <row r="3" spans="1:2">
      <c r="B3" s="127" t="s">
        <v>153</v>
      </c>
    </row>
    <row r="4" spans="1:2">
      <c r="B4" s="127" t="s">
        <v>154</v>
      </c>
    </row>
    <row r="6" spans="1:2">
      <c r="A6" s="126" t="s">
        <v>155</v>
      </c>
      <c r="B6" s="143" t="s">
        <v>156</v>
      </c>
    </row>
    <row r="7" spans="1:2">
      <c r="A7" s="129" t="s">
        <v>157</v>
      </c>
      <c r="B7" s="128" t="s">
        <v>158</v>
      </c>
    </row>
    <row r="8" spans="1:2" ht="30">
      <c r="A8" s="129"/>
      <c r="B8" s="130" t="s">
        <v>159</v>
      </c>
    </row>
    <row r="9" spans="1:2">
      <c r="A9" s="129" t="s">
        <v>160</v>
      </c>
      <c r="B9" s="128" t="s">
        <v>161</v>
      </c>
    </row>
    <row r="10" spans="1:2" ht="31.5" customHeight="1">
      <c r="A10" s="129"/>
      <c r="B10" s="220" t="s">
        <v>162</v>
      </c>
    </row>
    <row r="11" spans="1:2">
      <c r="B11" s="220"/>
    </row>
    <row r="12" spans="1:2">
      <c r="B12" s="220"/>
    </row>
    <row r="13" spans="1:2">
      <c r="A13" s="129" t="s">
        <v>163</v>
      </c>
      <c r="B13" s="128" t="s">
        <v>164</v>
      </c>
    </row>
    <row r="14" spans="1:2">
      <c r="B14" s="127" t="s">
        <v>3</v>
      </c>
    </row>
    <row r="15" spans="1:2">
      <c r="A15" s="131"/>
    </row>
    <row r="16" spans="1:2">
      <c r="A16" s="126" t="s">
        <v>165</v>
      </c>
      <c r="B16" s="143" t="s">
        <v>166</v>
      </c>
    </row>
    <row r="17" spans="1:3" ht="63">
      <c r="B17" s="127" t="s">
        <v>167</v>
      </c>
    </row>
    <row r="18" spans="1:3">
      <c r="A18" s="126" t="s">
        <v>168</v>
      </c>
      <c r="B18" s="143" t="s">
        <v>169</v>
      </c>
    </row>
    <row r="19" spans="1:3">
      <c r="B19" s="132" t="s">
        <v>170</v>
      </c>
    </row>
    <row r="20" spans="1:3">
      <c r="B20" s="133"/>
    </row>
    <row r="21" spans="1:3">
      <c r="B21" s="132" t="s">
        <v>171</v>
      </c>
    </row>
    <row r="22" spans="1:3">
      <c r="B22" s="132" t="s">
        <v>172</v>
      </c>
    </row>
    <row r="23" spans="1:3" ht="31.5">
      <c r="B23" s="132" t="s">
        <v>173</v>
      </c>
    </row>
    <row r="24" spans="1:3">
      <c r="B24" s="132"/>
    </row>
    <row r="25" spans="1:3">
      <c r="A25" s="126" t="s">
        <v>174</v>
      </c>
      <c r="B25" s="143" t="s">
        <v>175</v>
      </c>
    </row>
    <row r="26" spans="1:3">
      <c r="B26" s="127" t="s">
        <v>176</v>
      </c>
    </row>
    <row r="27" spans="1:3">
      <c r="B27" s="127" t="s">
        <v>177</v>
      </c>
    </row>
    <row r="28" spans="1:3">
      <c r="B28" s="128" t="s">
        <v>178</v>
      </c>
    </row>
    <row r="29" spans="1:3" s="136" customFormat="1" ht="15" customHeight="1">
      <c r="A29" s="134"/>
      <c r="B29" s="135" t="s">
        <v>179</v>
      </c>
      <c r="C29" s="135"/>
    </row>
    <row r="30" spans="1:3" s="136" customFormat="1" ht="9" customHeight="1">
      <c r="A30" s="134"/>
      <c r="B30" s="135"/>
      <c r="C30" s="135"/>
    </row>
    <row r="31" spans="1:3" s="136" customFormat="1">
      <c r="A31" s="134"/>
    </row>
    <row r="32" spans="1:3" s="136" customFormat="1" hidden="1">
      <c r="A32" s="134"/>
      <c r="B32" s="137" t="s">
        <v>180</v>
      </c>
      <c r="C32" s="138"/>
    </row>
    <row r="33" spans="1:3" s="136" customFormat="1" ht="9" customHeight="1">
      <c r="A33" s="134"/>
      <c r="B33" s="137"/>
      <c r="C33" s="138"/>
    </row>
    <row r="34" spans="1:3" s="136" customFormat="1">
      <c r="A34" s="134"/>
      <c r="B34" s="135"/>
    </row>
    <row r="35" spans="1:3" s="136" customFormat="1" hidden="1">
      <c r="A35" s="134"/>
      <c r="B35" s="138" t="s">
        <v>181</v>
      </c>
      <c r="C35" s="138"/>
    </row>
    <row r="36" spans="1:3" s="136" customFormat="1" ht="9" customHeight="1">
      <c r="A36" s="134"/>
      <c r="B36" s="138"/>
      <c r="C36" s="138"/>
    </row>
    <row r="37" spans="1:3" s="136" customFormat="1" hidden="1">
      <c r="A37" s="134"/>
      <c r="B37" s="135" t="s">
        <v>182</v>
      </c>
    </row>
    <row r="38" spans="1:3" s="136" customFormat="1" hidden="1">
      <c r="A38" s="134"/>
      <c r="B38" s="138" t="s">
        <v>183</v>
      </c>
      <c r="C38" s="138"/>
    </row>
    <row r="39" spans="1:3" hidden="1"/>
    <row r="40" spans="1:3">
      <c r="A40" s="126" t="s">
        <v>184</v>
      </c>
      <c r="B40" s="143" t="s">
        <v>191</v>
      </c>
    </row>
    <row r="41" spans="1:3" ht="31.5">
      <c r="B41" s="135" t="s">
        <v>185</v>
      </c>
    </row>
    <row r="42" spans="1:3">
      <c r="B42" s="127" t="s">
        <v>186</v>
      </c>
    </row>
    <row r="43" spans="1:3">
      <c r="B43" s="139" t="s">
        <v>187</v>
      </c>
    </row>
    <row r="44" spans="1:3">
      <c r="B44" s="140" t="s">
        <v>188</v>
      </c>
    </row>
    <row r="45" spans="1:3">
      <c r="B45" s="140"/>
    </row>
    <row r="46" spans="1:3" ht="47.25">
      <c r="B46" s="140" t="s">
        <v>189</v>
      </c>
    </row>
    <row r="48" spans="1:3">
      <c r="B48" s="141"/>
    </row>
  </sheetData>
  <mergeCells count="1">
    <mergeCell ref="B10:B12"/>
  </mergeCells>
  <pageMargins left="0.43869047619047619" right="0.65505952380952381" top="1" bottom="1" header="0.5" footer="0.5"/>
  <pageSetup paperSize="9" scale="71" orientation="portrait" horizontalDpi="4294967292" verticalDpi="4294967292"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tint="-0.34998626667073579"/>
  </sheetPr>
  <dimension ref="A1:K62"/>
  <sheetViews>
    <sheetView workbookViewId="0"/>
  </sheetViews>
  <sheetFormatPr baseColWidth="10" defaultColWidth="10.85546875" defaultRowHeight="15"/>
  <cols>
    <col min="1" max="1" width="14.85546875" style="104" customWidth="1"/>
    <col min="2" max="2" width="28.28515625" style="102" bestFit="1" customWidth="1"/>
    <col min="3" max="3" width="14.85546875" style="101" customWidth="1"/>
    <col min="4" max="4" width="3.85546875" style="103" customWidth="1"/>
    <col min="5" max="5" width="18.28515625" style="102" customWidth="1"/>
    <col min="6" max="7" width="10.85546875" style="101" hidden="1" customWidth="1"/>
    <col min="8" max="8" width="58.7109375" style="102" hidden="1" customWidth="1"/>
    <col min="9" max="10" width="0" style="104" hidden="1" customWidth="1"/>
    <col min="11" max="16384" width="10.85546875" style="104"/>
  </cols>
  <sheetData>
    <row r="1" spans="1:11">
      <c r="A1" s="101" t="s">
        <v>57</v>
      </c>
      <c r="B1" s="102" t="s">
        <v>58</v>
      </c>
      <c r="C1" s="101" t="s">
        <v>59</v>
      </c>
      <c r="F1" s="101" t="s">
        <v>60</v>
      </c>
      <c r="G1" s="101" t="s">
        <v>61</v>
      </c>
      <c r="H1" s="102" t="s">
        <v>62</v>
      </c>
      <c r="I1" s="101" t="s">
        <v>63</v>
      </c>
      <c r="J1" s="101" t="s">
        <v>64</v>
      </c>
      <c r="K1" s="79"/>
    </row>
    <row r="2" spans="1:11">
      <c r="A2" s="101" t="s">
        <v>65</v>
      </c>
      <c r="B2" s="121" t="s">
        <v>92</v>
      </c>
      <c r="C2" s="101">
        <v>2</v>
      </c>
      <c r="F2" s="101" t="s">
        <v>66</v>
      </c>
      <c r="G2" s="101">
        <v>1</v>
      </c>
      <c r="H2" s="102" t="s">
        <v>67</v>
      </c>
      <c r="I2" s="101">
        <v>1</v>
      </c>
      <c r="J2" s="101" t="s">
        <v>68</v>
      </c>
      <c r="K2" s="79"/>
    </row>
    <row r="3" spans="1:11">
      <c r="A3" s="101" t="s">
        <v>69</v>
      </c>
      <c r="B3" s="122" t="s">
        <v>93</v>
      </c>
      <c r="C3" s="101">
        <v>3</v>
      </c>
      <c r="F3" s="101" t="s">
        <v>70</v>
      </c>
      <c r="G3" s="101">
        <v>1</v>
      </c>
      <c r="H3" s="102" t="s">
        <v>71</v>
      </c>
      <c r="I3" s="101">
        <v>2</v>
      </c>
      <c r="J3" s="101" t="s">
        <v>72</v>
      </c>
      <c r="K3" s="79"/>
    </row>
    <row r="4" spans="1:11">
      <c r="A4" s="101" t="s">
        <v>73</v>
      </c>
      <c r="B4" s="123" t="s">
        <v>94</v>
      </c>
      <c r="F4" s="101" t="s">
        <v>74</v>
      </c>
      <c r="G4" s="101">
        <v>1</v>
      </c>
      <c r="H4" s="102" t="s">
        <v>75</v>
      </c>
      <c r="I4" s="101">
        <v>3</v>
      </c>
      <c r="J4" s="79"/>
      <c r="K4" s="79"/>
    </row>
    <row r="5" spans="1:11">
      <c r="A5" s="101" t="s">
        <v>76</v>
      </c>
      <c r="B5" s="123" t="s">
        <v>95</v>
      </c>
      <c r="F5" s="101" t="s">
        <v>77</v>
      </c>
      <c r="G5" s="101">
        <v>1</v>
      </c>
      <c r="H5" s="102" t="s">
        <v>78</v>
      </c>
      <c r="I5" s="101">
        <v>4</v>
      </c>
      <c r="J5" s="79"/>
      <c r="K5" s="79"/>
    </row>
    <row r="6" spans="1:11">
      <c r="A6" s="101" t="s">
        <v>79</v>
      </c>
      <c r="B6" s="122" t="s">
        <v>96</v>
      </c>
      <c r="F6" s="101" t="s">
        <v>80</v>
      </c>
      <c r="G6" s="101">
        <v>1</v>
      </c>
      <c r="H6" s="102" t="s">
        <v>81</v>
      </c>
      <c r="I6" s="101">
        <v>5</v>
      </c>
    </row>
    <row r="7" spans="1:11">
      <c r="A7" s="101" t="s">
        <v>82</v>
      </c>
      <c r="B7" s="122" t="s">
        <v>97</v>
      </c>
      <c r="I7" s="101">
        <v>6</v>
      </c>
    </row>
    <row r="8" spans="1:11">
      <c r="A8" s="101" t="s">
        <v>83</v>
      </c>
      <c r="B8" s="122" t="s">
        <v>98</v>
      </c>
      <c r="I8" s="101">
        <v>7</v>
      </c>
    </row>
    <row r="9" spans="1:11">
      <c r="A9" s="101" t="s">
        <v>84</v>
      </c>
      <c r="B9" s="122" t="s">
        <v>99</v>
      </c>
      <c r="I9" s="101">
        <v>8</v>
      </c>
    </row>
    <row r="10" spans="1:11">
      <c r="A10" s="101"/>
      <c r="B10" s="122" t="s">
        <v>100</v>
      </c>
      <c r="I10" s="101">
        <v>9</v>
      </c>
    </row>
    <row r="11" spans="1:11">
      <c r="A11" s="101"/>
      <c r="B11" s="123" t="s">
        <v>101</v>
      </c>
      <c r="I11" s="101">
        <v>10</v>
      </c>
    </row>
    <row r="12" spans="1:11">
      <c r="A12" s="101"/>
      <c r="B12" s="123" t="s">
        <v>102</v>
      </c>
      <c r="I12" s="101">
        <v>11</v>
      </c>
    </row>
    <row r="13" spans="1:11">
      <c r="B13" s="122" t="s">
        <v>103</v>
      </c>
      <c r="I13" s="101">
        <v>12</v>
      </c>
    </row>
    <row r="14" spans="1:11">
      <c r="B14" s="122" t="s">
        <v>104</v>
      </c>
      <c r="I14" s="101">
        <v>13</v>
      </c>
    </row>
    <row r="15" spans="1:11">
      <c r="B15" s="122" t="s">
        <v>105</v>
      </c>
      <c r="I15" s="101">
        <v>14</v>
      </c>
    </row>
    <row r="16" spans="1:11">
      <c r="B16" s="123" t="s">
        <v>106</v>
      </c>
      <c r="I16" s="101">
        <v>15</v>
      </c>
    </row>
    <row r="17" spans="2:9">
      <c r="B17" s="122" t="s">
        <v>107</v>
      </c>
      <c r="I17" s="101">
        <v>16</v>
      </c>
    </row>
    <row r="18" spans="2:9">
      <c r="B18" s="123" t="s">
        <v>108</v>
      </c>
      <c r="I18" s="101">
        <v>17</v>
      </c>
    </row>
    <row r="19" spans="2:9">
      <c r="B19" s="122" t="s">
        <v>109</v>
      </c>
      <c r="I19" s="101">
        <v>18</v>
      </c>
    </row>
    <row r="20" spans="2:9">
      <c r="B20" s="122" t="s">
        <v>110</v>
      </c>
      <c r="I20" s="101">
        <v>19</v>
      </c>
    </row>
    <row r="21" spans="2:9">
      <c r="B21" s="122" t="s">
        <v>111</v>
      </c>
      <c r="I21" s="101">
        <v>20</v>
      </c>
    </row>
    <row r="22" spans="2:9">
      <c r="B22" s="122" t="s">
        <v>112</v>
      </c>
      <c r="I22" s="101">
        <v>21</v>
      </c>
    </row>
    <row r="23" spans="2:9">
      <c r="B23" s="122" t="s">
        <v>113</v>
      </c>
      <c r="I23" s="101">
        <v>22</v>
      </c>
    </row>
    <row r="24" spans="2:9">
      <c r="B24" s="123" t="s">
        <v>114</v>
      </c>
      <c r="I24" s="101">
        <v>23</v>
      </c>
    </row>
    <row r="25" spans="2:9">
      <c r="B25" s="123" t="s">
        <v>115</v>
      </c>
      <c r="I25" s="101">
        <v>24</v>
      </c>
    </row>
    <row r="26" spans="2:9">
      <c r="B26" s="122" t="s">
        <v>116</v>
      </c>
      <c r="I26" s="101">
        <v>25</v>
      </c>
    </row>
    <row r="27" spans="2:9">
      <c r="B27" s="122" t="s">
        <v>117</v>
      </c>
      <c r="I27" s="101">
        <v>26</v>
      </c>
    </row>
    <row r="28" spans="2:9">
      <c r="B28" s="123" t="s">
        <v>118</v>
      </c>
      <c r="I28" s="101">
        <v>27</v>
      </c>
    </row>
    <row r="29" spans="2:9">
      <c r="B29" s="122" t="s">
        <v>119</v>
      </c>
      <c r="I29" s="101">
        <v>28</v>
      </c>
    </row>
    <row r="30" spans="2:9">
      <c r="B30" s="122" t="s">
        <v>120</v>
      </c>
      <c r="I30" s="101">
        <v>29</v>
      </c>
    </row>
    <row r="31" spans="2:9">
      <c r="B31" s="122" t="s">
        <v>121</v>
      </c>
      <c r="I31" s="101">
        <v>30</v>
      </c>
    </row>
    <row r="32" spans="2:9">
      <c r="B32" s="122" t="s">
        <v>122</v>
      </c>
    </row>
    <row r="33" spans="2:2">
      <c r="B33" s="123" t="s">
        <v>123</v>
      </c>
    </row>
    <row r="34" spans="2:2">
      <c r="B34" s="122" t="s">
        <v>124</v>
      </c>
    </row>
    <row r="35" spans="2:2">
      <c r="B35" s="122" t="s">
        <v>125</v>
      </c>
    </row>
    <row r="36" spans="2:2">
      <c r="B36" s="122" t="s">
        <v>126</v>
      </c>
    </row>
    <row r="37" spans="2:2">
      <c r="B37" s="122" t="s">
        <v>127</v>
      </c>
    </row>
    <row r="38" spans="2:2">
      <c r="B38" s="122" t="s">
        <v>128</v>
      </c>
    </row>
    <row r="39" spans="2:2">
      <c r="B39" s="122" t="s">
        <v>129</v>
      </c>
    </row>
    <row r="40" spans="2:2" ht="15.75" thickBot="1">
      <c r="B40" s="124" t="s">
        <v>130</v>
      </c>
    </row>
    <row r="41" spans="2:2">
      <c r="B41" s="125" t="s">
        <v>131</v>
      </c>
    </row>
    <row r="42" spans="2:2">
      <c r="B42" s="125" t="s">
        <v>132</v>
      </c>
    </row>
    <row r="43" spans="2:2">
      <c r="B43" s="125" t="s">
        <v>133</v>
      </c>
    </row>
    <row r="44" spans="2:2">
      <c r="B44" s="125" t="s">
        <v>134</v>
      </c>
    </row>
    <row r="45" spans="2:2">
      <c r="B45" s="125" t="s">
        <v>135</v>
      </c>
    </row>
    <row r="46" spans="2:2">
      <c r="B46" s="125" t="s">
        <v>136</v>
      </c>
    </row>
    <row r="47" spans="2:2">
      <c r="B47" s="125" t="s">
        <v>137</v>
      </c>
    </row>
    <row r="48" spans="2:2">
      <c r="B48" s="125" t="s">
        <v>138</v>
      </c>
    </row>
    <row r="49" spans="2:2">
      <c r="B49" s="125" t="s">
        <v>139</v>
      </c>
    </row>
    <row r="50" spans="2:2">
      <c r="B50" s="125" t="s">
        <v>140</v>
      </c>
    </row>
    <row r="51" spans="2:2">
      <c r="B51" s="125" t="s">
        <v>141</v>
      </c>
    </row>
    <row r="52" spans="2:2">
      <c r="B52" s="125" t="s">
        <v>142</v>
      </c>
    </row>
    <row r="53" spans="2:2">
      <c r="B53" s="125" t="s">
        <v>143</v>
      </c>
    </row>
    <row r="54" spans="2:2">
      <c r="B54" s="125" t="s">
        <v>144</v>
      </c>
    </row>
    <row r="55" spans="2:2">
      <c r="B55" s="125" t="s">
        <v>145</v>
      </c>
    </row>
    <row r="56" spans="2:2">
      <c r="B56" s="125" t="s">
        <v>146</v>
      </c>
    </row>
    <row r="57" spans="2:2">
      <c r="B57" s="125" t="s">
        <v>147</v>
      </c>
    </row>
    <row r="58" spans="2:2">
      <c r="B58" s="125" t="s">
        <v>148</v>
      </c>
    </row>
    <row r="59" spans="2:2">
      <c r="B59" s="125" t="s">
        <v>149</v>
      </c>
    </row>
    <row r="60" spans="2:2">
      <c r="B60" s="125" t="s">
        <v>150</v>
      </c>
    </row>
    <row r="61" spans="2:2">
      <c r="B61" s="125" t="s">
        <v>151</v>
      </c>
    </row>
    <row r="62" spans="2:2">
      <c r="B62" s="125" t="s">
        <v>152</v>
      </c>
    </row>
  </sheetData>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vt:i4>
      </vt:variant>
    </vt:vector>
  </HeadingPairs>
  <TitlesOfParts>
    <vt:vector size="9" baseType="lpstr">
      <vt:lpstr>Synthèse</vt:lpstr>
      <vt:lpstr>Fonctionnalités</vt:lpstr>
      <vt:lpstr>Déclinaison projet</vt:lpstr>
      <vt:lpstr>ELEVE A</vt:lpstr>
      <vt:lpstr>ELEVE B</vt:lpstr>
      <vt:lpstr>ELEVE C</vt:lpstr>
      <vt:lpstr>MODE EMPLOI</vt:lpstr>
      <vt:lpstr>parametres</vt:lpstr>
      <vt:lpstr>Synthèse!Zone_d_impression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F.BACON</dc:creator>
  <cp:lastModifiedBy>familly</cp:lastModifiedBy>
  <cp:lastPrinted>2013-12-18T22:21:54Z</cp:lastPrinted>
  <dcterms:created xsi:type="dcterms:W3CDTF">2012-11-08T16:17:17Z</dcterms:created>
  <dcterms:modified xsi:type="dcterms:W3CDTF">2015-01-26T17:53:56Z</dcterms:modified>
</cp:coreProperties>
</file>